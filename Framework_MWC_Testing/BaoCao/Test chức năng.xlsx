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HP\Desktop\DoAn4\Framework_MWC_Testing\BaoCao\"/>
    </mc:Choice>
  </mc:AlternateContent>
  <bookViews>
    <workbookView xWindow="0" yWindow="0" windowWidth="19200" windowHeight="8380" tabRatio="877" activeTab="6"/>
  </bookViews>
  <sheets>
    <sheet name="Chung" sheetId="22" r:id="rId1"/>
    <sheet name="Đăng nhập" sheetId="1" r:id="rId2"/>
    <sheet name="Đăng ký" sheetId="2" r:id="rId3"/>
    <sheet name="Tìm kiếm sản phẩm" sheetId="4" r:id="rId4"/>
    <sheet name="Thông tin cá nhân" sheetId="19" r:id="rId5"/>
    <sheet name="Đặt hàng" sheetId="26" r:id="rId6"/>
    <sheet name="Đánh giá sản phẩm" sheetId="24" r:id="rId7"/>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6" l="1"/>
  <c r="D3" i="26"/>
  <c r="E2" i="26"/>
  <c r="D2" i="26"/>
  <c r="E1" i="26"/>
  <c r="D1" i="26"/>
  <c r="E3" i="24" l="1"/>
  <c r="D3" i="24"/>
  <c r="E2" i="24"/>
  <c r="D2" i="24"/>
  <c r="E1" i="24"/>
  <c r="D1" i="24"/>
  <c r="G9" i="22"/>
  <c r="F9" i="22"/>
  <c r="E9" i="22"/>
  <c r="D9" i="22"/>
  <c r="C9" i="22"/>
  <c r="E3" i="19" l="1"/>
  <c r="D3" i="19"/>
  <c r="E2" i="19"/>
  <c r="D2" i="19"/>
  <c r="E1" i="19"/>
  <c r="D1" i="19"/>
  <c r="D3" i="4"/>
  <c r="C3" i="4"/>
  <c r="D2" i="4"/>
  <c r="C2" i="4"/>
  <c r="D1" i="4"/>
  <c r="C1" i="4"/>
  <c r="E3" i="2"/>
  <c r="D3" i="2"/>
  <c r="E2" i="2"/>
  <c r="D2" i="2"/>
  <c r="E1" i="2"/>
  <c r="D1" i="2"/>
  <c r="E3" i="1"/>
  <c r="D3" i="1"/>
  <c r="E2" i="1"/>
  <c r="D2" i="1"/>
  <c r="E1" i="1"/>
  <c r="D1" i="1"/>
  <c r="F10" i="22" l="1"/>
  <c r="G10" i="22"/>
  <c r="E10" i="22"/>
  <c r="C10" i="22"/>
  <c r="D10" i="22"/>
</calcChain>
</file>

<file path=xl/sharedStrings.xml><?xml version="1.0" encoding="utf-8"?>
<sst xmlns="http://schemas.openxmlformats.org/spreadsheetml/2006/main" count="730" uniqueCount="314">
  <si>
    <t>STT</t>
  </si>
  <si>
    <t>Chức năng</t>
  </si>
  <si>
    <t>Tổng số Testcase</t>
  </si>
  <si>
    <t>Số testcase PASS</t>
  </si>
  <si>
    <t>Đăng nhập</t>
  </si>
  <si>
    <t>Đăng ký</t>
  </si>
  <si>
    <t>Tìm kiếm sản phẩm</t>
  </si>
  <si>
    <t>Thông tin cá nhân</t>
  </si>
  <si>
    <t>TỔNG</t>
  </si>
  <si>
    <t>Back to TestReport</t>
  </si>
  <si>
    <t>To Buglist</t>
  </si>
  <si>
    <t>Module Code</t>
  </si>
  <si>
    <t>WithDraw</t>
  </si>
  <si>
    <t>Tester</t>
  </si>
  <si>
    <t>Test Case ID</t>
  </si>
  <si>
    <t>Tên Test Case</t>
  </si>
  <si>
    <t>Mô tả</t>
  </si>
  <si>
    <t>Điều kiện trước</t>
  </si>
  <si>
    <t>Các bước thực hiện</t>
  </si>
  <si>
    <t>Kết quả mong muốn</t>
  </si>
  <si>
    <t>Kết quả thực tế</t>
  </si>
  <si>
    <t>Status</t>
  </si>
  <si>
    <t>Note</t>
  </si>
  <si>
    <t>Đăng nhập thành công</t>
  </si>
  <si>
    <t>Kiểm tra người dùng có thể đăng nhập thành công</t>
  </si>
  <si>
    <t>Tài khoản hợp lệ đã được tạo</t>
  </si>
  <si>
    <t>Mã</t>
  </si>
  <si>
    <t>Mục đích</t>
  </si>
  <si>
    <t>Tìm kiếm với ký tự đặc biệt</t>
  </si>
  <si>
    <t>Phạm Thị Thu Trang</t>
  </si>
  <si>
    <t>Kiểm tra chức năng cập nhật thông tin tài khoản</t>
  </si>
  <si>
    <t>Người dùng đã đăng nhập thành công tài khoản vào hệ thống.
Trang thông tin cá nhân hiển thị, người dùng yêu cầu cập nhật thông tin cá nhân</t>
  </si>
  <si>
    <t>Thông tin được lưu lại và hiển thị ở trang thông tin tài khoản</t>
  </si>
  <si>
    <t>Số test case FAIL</t>
  </si>
  <si>
    <t>Ứng dụng hiển thị form đăng nhập</t>
  </si>
  <si>
    <t>Kiểm tra hệ thống phản hồi khi nhập sai thông tin</t>
  </si>
  <si>
    <t>Kiểm tra hệ thống cho phép đăng ký khi nhập dữ liệu hợp lệ</t>
  </si>
  <si>
    <t xml:space="preserve">	Đăng ký thành công</t>
  </si>
  <si>
    <t>Người dùng chưa có tài khoản</t>
  </si>
  <si>
    <t>Kiểm tra chức năng tìm kiếm khi nhập đúng tên sản phẩm</t>
  </si>
  <si>
    <t>Có dữ liệu sản phẩm với tên cụ thể trong hệ thống</t>
  </si>
  <si>
    <t>Tìm kiếm với từ khóa không tồn tại</t>
  </si>
  <si>
    <t>Kiểm tra phản hồi hệ thống khi tìm kiếm với từ khóa không hợp lệ</t>
  </si>
  <si>
    <t>Tìm kiếm với ô tìm kiếm rỗng</t>
  </si>
  <si>
    <t>Kiểm tra xem hệ thống xử lý thế nào khi không nhập gì mà vẫn tìm kiếm</t>
  </si>
  <si>
    <t>Kiểm tra xem hệ thống có xử lý hợp lệ khi người dùng nhập ký tự đặc biệt hay không</t>
  </si>
  <si>
    <t>Cập nhật thành công với thông tin hợp lệ</t>
  </si>
  <si>
    <t>Kiểm tra chức năng cập nhật tài khoản khi bỏ trống Địa chỉ</t>
  </si>
  <si>
    <t>Người dùng đã đăng nhập thành công tài khoản vào hệ thống.
Trang thông tin cá nhân hiển thị, người dùng yêu cầu thay đổi mật khẩu</t>
  </si>
  <si>
    <t>Đăng nhập khi thông tin toàn chữ in hoa</t>
  </si>
  <si>
    <t>Auto</t>
  </si>
  <si>
    <t>FAIL</t>
  </si>
  <si>
    <t>PASS</t>
  </si>
  <si>
    <t>Manual</t>
  </si>
  <si>
    <t>Đăng kí thành công và vào trang chủ với tài khoản vừa đăng kí</t>
  </si>
  <si>
    <t>AUTO</t>
  </si>
  <si>
    <t>MANUAL</t>
  </si>
  <si>
    <t>Tìm kiếm với tên sản phẩm đầy đủ</t>
  </si>
  <si>
    <t>1. Truy cập vào trang chủ website Ella
2. Để trống ô tìm kiếm
3. Ấn Enter hoặc icon tìm kiếm</t>
  </si>
  <si>
    <t>Tìm kiếm khi toàn số</t>
  </si>
  <si>
    <t>Kiểm tra xem hệ thống có xử lý hợp lý khi người dùng nhập toàn số</t>
  </si>
  <si>
    <t>Tỷ lệ</t>
  </si>
  <si>
    <t>DN-1</t>
  </si>
  <si>
    <t>DN-2</t>
  </si>
  <si>
    <t>DN-3</t>
  </si>
  <si>
    <t>DN-4</t>
  </si>
  <si>
    <t>DN-5</t>
  </si>
  <si>
    <t>DN-6</t>
  </si>
  <si>
    <t>DN-7</t>
  </si>
  <si>
    <t>DN-8</t>
  </si>
  <si>
    <t>DK-1</t>
  </si>
  <si>
    <t>DK-2</t>
  </si>
  <si>
    <t>DK-3</t>
  </si>
  <si>
    <t>DK-4</t>
  </si>
  <si>
    <t>DK-5</t>
  </si>
  <si>
    <t>DK-6</t>
  </si>
  <si>
    <t>DK-7</t>
  </si>
  <si>
    <t>DK-8</t>
  </si>
  <si>
    <t>DK-9</t>
  </si>
  <si>
    <t>DK-10</t>
  </si>
  <si>
    <t>TK-1</t>
  </si>
  <si>
    <t>TK-2</t>
  </si>
  <si>
    <t>TK-3</t>
  </si>
  <si>
    <t>TK-4</t>
  </si>
  <si>
    <t>TK-5</t>
  </si>
  <si>
    <t>TK-6</t>
  </si>
  <si>
    <t>TK-7</t>
  </si>
  <si>
    <t>TK-8</t>
  </si>
  <si>
    <t>TK-9</t>
  </si>
  <si>
    <t>Đăng nhập thành công và điều hướng đến trang chủ, xem được thông tin cá nhân</t>
  </si>
  <si>
    <t>Hệ thống không hiển thị thông báo.</t>
  </si>
  <si>
    <t>Hệ thống hiển thị thông báo "Tên đăng nhập hoặc mật khẩu không đúng!"</t>
  </si>
  <si>
    <t>Kiểm tra thông báo lỗi khi bỏ trống SĐT</t>
  </si>
  <si>
    <t xml:space="preserve">	Đăng ký thất bại-  SĐT trống</t>
  </si>
  <si>
    <t xml:space="preserve">	Đăng ký thất bại - SĐT &lt;10 ký tự số</t>
  </si>
  <si>
    <t xml:space="preserve">	Đăng ký thất bại - SĐT toàn chữ</t>
  </si>
  <si>
    <t xml:space="preserve">	Đăng ký thất bại - SĐT chứa ký tự đặc biệt</t>
  </si>
  <si>
    <t xml:space="preserve">	Đăng ký thất bại - SĐT &gt; 10 ký tự số</t>
  </si>
  <si>
    <t xml:space="preserve">	Đăng ký thất bại - Mật khẩu &lt;8 ký tự</t>
  </si>
  <si>
    <t xml:space="preserve">	Đăng ký thất bại - Mật khẩu &gt; 20 ký tự</t>
  </si>
  <si>
    <t>DK-11</t>
  </si>
  <si>
    <t>DK-12</t>
  </si>
  <si>
    <t>DK-13</t>
  </si>
  <si>
    <t>DK-14</t>
  </si>
  <si>
    <t xml:space="preserve">	Đăng ký thất bại - SĐT có dấu cách</t>
  </si>
  <si>
    <t>Kiểm tra khi nhập SĐT không hợp lệ</t>
  </si>
  <si>
    <t xml:space="preserve">Người dùng chưa có tài khoản </t>
  </si>
  <si>
    <t>Hiển thị thông báo “Vui lòng điền vào trường này” tại SĐT</t>
  </si>
  <si>
    <t>Hiển thị lỗi "Số điện thoại không đúng định dạng!"</t>
  </si>
  <si>
    <t>Hiển thị lỗi "Mật khẩu phải lớn hơn 8 ký tự và nhỏ hơn 20 ký tự!"</t>
  </si>
  <si>
    <t>Hiển thị lỗi "Mật khẩu không giống nhau!"</t>
  </si>
  <si>
    <t>Hiển thị lỗi "Tài khoản đã tồn tại trong hệ thống"</t>
  </si>
  <si>
    <t>Không hiển thị thông báo</t>
  </si>
  <si>
    <t>Tìm kiếm theo màu sắc sản phẩm</t>
  </si>
  <si>
    <t>Tìm kiếm với mã sản phẩm</t>
  </si>
  <si>
    <t>Tìm kiếm với loại sản phẩm - chữ thường</t>
  </si>
  <si>
    <t>Tìm kiếm với loại sản phẩm - chữ in hoa</t>
  </si>
  <si>
    <t>Tìm kiếm với từ khóa không dấu</t>
  </si>
  <si>
    <t>Tìm kiếm với từ khóa không đầy đủ</t>
  </si>
  <si>
    <t>TK-10</t>
  </si>
  <si>
    <t>TK-11</t>
  </si>
  <si>
    <t>Kiểm tra chức năng tìm kiếm khi nhập tên sản phẩm không dấu</t>
  </si>
  <si>
    <t>Kiểm tra chức năng tìm kiếm khi nhập tên sản phẩm không đầy đủ</t>
  </si>
  <si>
    <t>Kiểm tra xem hệ thống có xử lý hợp lý khi người dùng nhập màu sắc của sản phẩm</t>
  </si>
  <si>
    <t>1. Truy cập vào trang chủ website  MWC
2. Nhập đầy đủ tên sản phẩm
VD: Giày Sandal Nữ MWC E196 - Sandal Đế Đúc Nguyên Khối, Quai Ngang To Bản Kết Hợp Quai Dán Tiện Lợi, Cá Tính, Thoải Mái.
3. Ấn Enter hoặc icon tìm kiếm</t>
  </si>
  <si>
    <t>1. Truy cập vào trang chủ website Ella
2. Nhập từ khóa tìm kiếm
VD: E196
3. Ấn Enter hoặc icon tìm kiếm</t>
  </si>
  <si>
    <t>Hệ thống hiển thị đúng sản phẩm xuất hiện đầu tiền là "Giày Sandal Nữ MWC E196 - Sandal Đế Đúc Nguyên Khối, Quai Ngang To Bản Kết Hợp Quai Dán Tiện Lợi, Cá Tính, Thoải Mái."</t>
  </si>
  <si>
    <t>1. Truy cập vào trang chủ website Ella
2. Nhập từ khóa tìm kiếm
VD: Giày
3. Ấn Enter hoặc icon tìm kiếm</t>
  </si>
  <si>
    <t>1. Truy cập vào trang chủ website Ella
2. Nhập từ khóa tìm kiếm
VD: GIÀY
3. Ấn Enter hoặc icon tìm kiếm</t>
  </si>
  <si>
    <t>Hệ thống hiển thị đúng sản phẩm xuất hiện đầu tiền có chứa từ tìm kiếm "Giày"</t>
  </si>
  <si>
    <t>1. Truy cập vào trang chủ website Ella
2. Nhập từ khóa tìm kiếm
VD: Giay the thao
3. Ấn Enter hoặc icon tìm kiếm</t>
  </si>
  <si>
    <t>Hệ thống hiển thị đúng sản phẩm xuất hiện đầu tiền có chứa từ tìm kiếm "Giày thể thao"</t>
  </si>
  <si>
    <t>1. Truy cập vào trang chủ website Ella
2. Nhập từ khóa tìm kiếm
VD: Giày th
3. Ấn Enter hoặc icon tìm kiếm</t>
  </si>
  <si>
    <t>Hệ thống không trả ra sản phẩm nào</t>
  </si>
  <si>
    <t>1. Truy cập vào trang chủ website Ella
2. Nhập từ khóa tìm kiếm
VD: Bánh bao
3. Ấn Enter hoặc icon tìm kiếm</t>
  </si>
  <si>
    <t>1. Truy cập vào trang chủ website Ella
2. Nhập từ khóa tìm kiếm
VD: Giay!#$%
3. Ấn Enter hoặc icon tìm kiếm</t>
  </si>
  <si>
    <t>1. Truy cập vào trang chủ website Ella
2. Nhập từ khóa tìm kiếm
VD: 196
3. Ấn Enter hoặc icon tìm kiếm</t>
  </si>
  <si>
    <t>1. Truy cập vào trang chủ website Ella
2. Nhập từ khóa tìm kiếm
VD: Màu đen
3. Ấn Enter hoặc icon tìm kiếm</t>
  </si>
  <si>
    <t>Hệ thống hiển thị đúng sản phẩm xuất hiện đầu tiền có chứa từ tìm kiếm "màu đen"</t>
  </si>
  <si>
    <t>Đăng ký thất bại - Tên đăng nhập trống</t>
  </si>
  <si>
    <t>Kiểm tra thông báo lỗi khi bỏ trống Tên đăng nhập</t>
  </si>
  <si>
    <t>Hiển thị thông báo “Vui lòng điền vào trường này” tại Tên đăng nhập</t>
  </si>
  <si>
    <t xml:space="preserve">	Đăng ký thất bại - Tên đăng nhập đã tồn tại</t>
  </si>
  <si>
    <t>Kiểm tra thông báo khi nhập Tên đăng nhập đã tồn tại</t>
  </si>
  <si>
    <t xml:space="preserve">	Đăng ký thất bại - Mật khẩu trống </t>
  </si>
  <si>
    <t>Kiểm tra thông báo lỗi khi bỏ trống Mật khẩu</t>
  </si>
  <si>
    <t>Hiển thị thông báo “Vui lòng điền vào trường này” tại Mật khẩu</t>
  </si>
  <si>
    <t>Kiểm tra thông báo khi Mật khẩu không hợp lệ</t>
  </si>
  <si>
    <t xml:space="preserve">	Đăng ký thất bại - Mật khẩu khác Mật khẩuConfirm</t>
  </si>
  <si>
    <t>1. Nhập email hợp lệ
VD: Ánh Dương Phạm
2. Nhập SĐT
VD: 0352146789
3. Nhập Mật khẩu hợp lệ (8 &lt; Mật khẩu &lt; 20)
VD: 123456789
3. Nhập lại đúng Mật khẩu
VD: 123456789
4. Nhấn “Đăng ký”</t>
  </si>
  <si>
    <t>1. Nhập Tên đăng nhập hợp lệ
VD: user_demo_2
2. Bỏ nhập SĐT
3. Nhập Mật khẩu hợp lệ (8 &lt; Mật khẩu &lt; 20)
VD: Abcde12345
3. Nhập lại đúng Nhắc lại mật khẩu
VD: Abcde12345
4. Nhấn “Đăng ký”</t>
  </si>
  <si>
    <t>1. Bỏ nhập Tên đăng nhập 
2. Nhập SĐT
VD:  0912345678
3. Nhập Mật khẩu hợp lệ (8 &lt; Mật khẩu &lt; 20)
VD: Abcde12345
3. Nhập lại đúng Nhắc lại mật khẩu
VD: Abcde12345
4. Nhấn “Đăng ký”</t>
  </si>
  <si>
    <t>1. Nhập Tên đăng nhập hợp lệ
VD: user_demo_3
2. Nhập SĐT
VD:  0912345678
3. Bỏ nhập Mật khẩu
3. Nhập Nhắc lại mật khẩu
VD: Abcde12345
4. Nhấn “Đăng ký”</t>
  </si>
  <si>
    <t xml:space="preserve">	Đăng ký thất bại - Nhắc lại mật khẩu  trống </t>
  </si>
  <si>
    <t>Kiểm tra thông báo lỗi khi bỏ trống Nhắc lại mật khẩu</t>
  </si>
  <si>
    <t>1. Nhập Tên đăng nhập hợp lệ
VD: user_demo_4
2. Nhập SĐT
VD:  0912345678
3. Nhập Mật khẩu hợp lệ (8 &lt; Mật khẩu &lt; 20)
VD: Abcde12345
3. Bỏ nhập Nhắc lại mật khẩu
4. Nhấn “Đăng ký”</t>
  </si>
  <si>
    <t>Hiển thị thông báo “Vui lòng điền vào trường này” tại Nhắc lại mật khẩu</t>
  </si>
  <si>
    <t>1. Nhập Tên đăng nhập hợp lệ
VD: user_demo_5
2. Nhập SĐT (3 ký tự số)
VD:  091
3. Nhập Mật khẩu hợp lệ (8 &lt; Mật khẩu &lt; 20)
VD: Abcde12345
3. Nhập lại đúng Nhắc lại mật khẩu
VD: Abcde12345
4. Nhấn “Đăng ký”</t>
  </si>
  <si>
    <t>1. Nhập Tên đăng nhập hợp lệ
VD: user_demo_6
2. Nhập SĐT (3 ký tự chữ)
VD:  abc
3. Nhập Mật khẩu hợp lệ (8 &lt; Mật khẩu &lt; 20)
VD: Abcde12345
3. Nhập lại đúng Nhắc lại mật khẩu
VD: Abcde12345
4. Nhấn “Đăng ký”</t>
  </si>
  <si>
    <t>1. Nhập Tên đăng nhập hợp lệ
VD: user_demo_7
2. Nhập SĐT (3 ký tự có chữ ký tự đặc biệt)
VD:  03!
3. Nhập Mật khẩu hợp lệ (8 &lt; Mật khẩu &lt; 20)
VD: Abcde12345
3. Nhập lại đúng Nhắc lại mật khẩu
VD: Abcde12345
4. Nhấn “Đăng ký”</t>
  </si>
  <si>
    <t>1. Nhập Tên đăng nhập hợp lệ
VD: user_demo_8
2. Nhập SĐT (có chứ khoảng trắng)
VD:  03 45216789
3. Nhập Mật khẩu hợp lệ (8 &lt; Mật khẩu &lt; 20)
VD: Abcde12345
3. Nhập lại đúng Nhắc lại mật khẩu
VD: Abcde12345
4. Nhấn “Đăng ký”</t>
  </si>
  <si>
    <t>1. Nhập Tên đăng nhập hợp lệ
VD: user_demo_9
2. Nhập SĐT (11 ký tự số)
VD:  03452167891
3. Nhập Mật khẩu hợp lệ (8 &lt; Mật khẩu &lt; 20)
VD: Abcde12345
3. Nhập lại đúng Nhắc lại mật khẩu
VD: Abcde12345
4. Nhấn “Đăng ký”</t>
  </si>
  <si>
    <t>1. Nhập Tên đăng nhập hợp lệ
VD: user_demo_10
2. Nhập SĐT 
VD:  0912345678
3. Nhập Mật khẩu không hợp lệ (&lt; 8 ký tự )
VD: 123
3. Nhập lại đúng Nhắc lại mật khẩu
VD: 123
4. Nhấn “Đăng ký”</t>
  </si>
  <si>
    <t>1. Nhập Tên đăng nhập hợp lệ
VD: user_demo_11
2. Nhập SĐT 
VD:  0912345678
3. Nhập Mật khẩu không hợp lệ (&gt; 20 ký tự )
VD: 1234567890abcdefghiklmno
3. Nhập lại đúng Nhắc lại mật khẩu
VD: 1234567890abcdefghiklmno
4. Nhấn “Đăng ký”</t>
  </si>
  <si>
    <t>Kiểm tra thông báo khi nhập Nhắc lại mật khẩu không trùng với Mật khẩu</t>
  </si>
  <si>
    <t>1. Nhập Tên đăng nhập hợp lệ
VD: user_demo_12
2. Nhập SĐT 
VD:  0912345679
3. Nhập Mật khẩu hợp lệ
VD: 12345678
3. Nhập lại sai Nhắc lại mật khẩu
VD: 123
4. Nhấn “Đăng ký”</t>
  </si>
  <si>
    <t>Bỏ trống ô Mật khẩu</t>
  </si>
  <si>
    <t>Kiểm tra thông báo lỗi khi người dùng không nhập Mật khẩu</t>
  </si>
  <si>
    <t>Hệ thống hiển thị thông báo "Vui lòng điền vào trường này" tại ô Mật khẩu</t>
  </si>
  <si>
    <t>Kiểm tra thông báo lỗi khi người dùng không nhập email và Mật khẩu</t>
  </si>
  <si>
    <t xml:space="preserve">Mật khẩu không đúng </t>
  </si>
  <si>
    <t>1. Nhập Tên đăng nhập hợp lệ 
VD: Ánh Dương Phạm
2. Nhập Mật khẩu hợp lệ
VD: anhduong@123
3. Nhấn đăng nhập</t>
  </si>
  <si>
    <t>1. Nhập Tên đăng nhập hợp lệ 
VD: ÁNH DƯƠNG PHẠM
2. Nhập Mật khẩu hợp lệ
VD: anhduong@123
3. Nhấn đăng nhập</t>
  </si>
  <si>
    <t>1. Nhập Tên đăng nhập hợp lệ 
VD: anhduongpham
2. Nhập Mật khẩu hợp lệ
VD: anhduong@123
3. Nhấn đăng nhập</t>
  </si>
  <si>
    <t>Bỏ trống ô Tên đăng nhập</t>
  </si>
  <si>
    <t>Kiểm tra thông báo lỗi khi người dùng không nhập Tên đăng nhập</t>
  </si>
  <si>
    <t>1. Bỏ trống Tên đăng nhập
2. Nhập Mật khẩu hợp lệ
VD: anhduong@124
3. Nhấn đăng nhập</t>
  </si>
  <si>
    <t>Hệ thống hiển thị thông báo "Vui lòng điền vào trường này" tại ô Tên đăng nhập</t>
  </si>
  <si>
    <t>1. Nhập Tên đăng nhập hợp lệ 
VD: anhduongpham
2. Bỏ trống Mật khẩu
3. Nhấn đăng nhập</t>
  </si>
  <si>
    <t>Bỏ trống ô Tên đăng nhập và Mật khẩu</t>
  </si>
  <si>
    <t>Tên đăng nhập không đúng</t>
  </si>
  <si>
    <t>1. Nhập Tên đăng nhập hợp lệ 
VD: anh
2. Nhập Mật khẩu hợp lệ
VD: anhduong@125
3. Nhấn đăng nhập</t>
  </si>
  <si>
    <t>1. Nhập Tên đăng nhập hợp lệ 
VD: Ánh Dương Phạm
2. Nhập Mật khẩu hợp lệ
VD: anhduong
3. Nhấn đăng nhập</t>
  </si>
  <si>
    <t>1. Mở trang thông tin cá nhân
2. Điền Tên
VD: Phạm Thị Ánh Dương
3. Điền Email
VD: anh1@gmail.com
4. Điền SĐT
VD: 03321156789
5. Điền Giới tính
VD: Nữ
6. Chọn ngày sinh
VD: 1/1/2000
7. Chọn thông tin nhận hàng
VD: Hậu Giang/ Huyện Châu Thành/Xã Đông Phước A
8. Điền Địa chỉ
VD: abc
9. Bấm "Lưu"</t>
  </si>
  <si>
    <t>1. Mở trang thông tin cá nhân
2. Điền Tên
 VD: Phạm Thị Ánh Dương
3. Điền Email
 VD: anh1@gmail.com
4. Điền SĐT
 VD: 03321156789
5. Điền Giới tính
 VD: Nam
6. Chọn ngày sinh
 VD: 10/10/2000
7. Chọn thông tin nhận hàng
 VD: TP. Hồ Chí Minh / Quận 1 / Phường Bến Nghé
8. Điền Địa chỉ
 VD: abc
9. Bấm "Lưu"</t>
  </si>
  <si>
    <t>1. Mở trang thông tin cá nhân
2. Điền Tên
 VD: (trống)
3. Điền Email
 VD: anh1@gmail.com
4. Điền SĐT
 VD: 03321156790
5. Điền Giới tính
 VD: Nữ
6. Chọn ngày sinh
 VD: 11/11/2001
7. Chọn thông tin nhận hàng
 VD: TP. Hồ Chí Minh / Quận 2 / Phường Bến Nghé
8. Điền Địa chỉ
 VD: abc
9. Bấm "Lưu"</t>
  </si>
  <si>
    <t> 1. Mở trang thông tin cá nhân
2. Điền Tên
 VD: Phạm Thị Ánh Dương
3. Điền Email
 VD: (trống)
4. Điền SĐT
 VD: 03321156790
5. Điền Giới tính
 VD: Khác
6. Chọn ngày sinh
 VD: 11/11/2001
7. Chọn thông tin nhận hàng
 VD: TP. Hồ Chí Minh / Quận 2 / Phường Bến Nghé
8. Điền Địa chỉ
 VD: abc
9. Bấm "Lưu"</t>
  </si>
  <si>
    <t>1. Mở trang thông tin cá nhân
2. Điền Tên
 VD: Phạm Thị Ánh Dương
3. Điền Email
 VD: anh1@gmail.com
4. Điền SĐT
 VD: 0332115678987
5. Điền Giới tính
 VD: Nam
6. Chọn ngày sinh
 VD: 3/3/2007
7. Chọn thông tin nhận hàng
 VD: Hậu Giang / Huyện Châu Thành / Xã Đông Phước A
8. Điền Địa chỉ
 VD: abc
9. Bấm "Lưu"</t>
  </si>
  <si>
    <t>Kiểm tra cập nhật khi để trống họ tên</t>
  </si>
  <si>
    <t>Kiểm tra cập nhật khi để trống email</t>
  </si>
  <si>
    <t>Kiểm tra chức năng cập nhật tài khoản khi bỏ trống email</t>
  </si>
  <si>
    <t>Kiểm tra chức năng cập nhật thông tin tài khoản khi bỏ trống họ tên</t>
  </si>
  <si>
    <t>Kiểm tra cập nhật khi để trống Địa chỉ</t>
  </si>
  <si>
    <t>1. Mở trang thông tin cá nhân
2. Điền Tên
 VD: Phạm Thị Ánh Dương
3. Điền Email
 VD: anh1@gmail.com
4. Điền SĐT
 VD: 03321156790
5. Điền Giới tính
 VD: Nữ
6. Chọn ngày sinh
 VD: 11/11/2001
7. Chọn thông tin nhận hàng
 VD: TP. Hồ Chí Minh / Quận 2 / Phường Bến Nghé
8. Điền Địa chỉ
 VD: (trống)
9. Bấm "Lưu"</t>
  </si>
  <si>
    <t xml:space="preserve">Kiểm tra chức năng cập nhật tài khoản khi bỏ trống Thông tin nhân hàng </t>
  </si>
  <si>
    <t>1. Mở trang thông tin cá nhân
2. Điền Tên
 VD: Phạm Thị Ánh Dương
3. Điền Email
 VD: anh1@
4. Điền SĐT
 VD: 03321156790
5. Điền Giới tính
 VD: Nam
6. Chọn ngày sinh
 VD: 11/11/2001
7. Chọn thông tin nhận hàng
 VD: (Trống)
8. Điền Địa chỉ
 VD: (trống)
9. Bấm "Lưu"</t>
  </si>
  <si>
    <t>Kiểm tra cập nhật khi để trống Thông tin nhận hàng</t>
  </si>
  <si>
    <t>Cập nhật thông tin tài khoản - Email  thiếu gmail,com</t>
  </si>
  <si>
    <t>Kiểm tra chức năng cập nhật tài khoản khi email sai định dạng</t>
  </si>
  <si>
    <t>1. Mở trang thông tin cá nhân
2. Điền Tên
 VD: Phạm Thị Ánh Dương
3. Điền Email
 VD: anh1@
4. Điền SĐT
 VD: 03321156790
5. Điền Giới tính
 VD: Khác
6. Chọn ngày sinh
 VD: 11/11/2001
7. Chọn thông tin nhận hàng
 VD: TP. Hồ Chí Minh / Quận 2 / Phường Bến Nghé
8. Điền Địa chỉ
 VD: abc
9. Bấm "Lưu"</t>
  </si>
  <si>
    <t xml:space="preserve">Cập nhật thông tin tài khoản - Email  chứa ký tự đặc biệt </t>
  </si>
  <si>
    <t>1. Mở trang thông tin cá nhân
2. Điền Tên
 VD: Phạm Thị Ánh Dương
3. Điền Email
 VD: anh1@@
4. Điền SĐT
 VD: 03321156790
5. Điền Giới tính
 VD: Nam
6. Chọn ngày sinh
 VD: 11/11/2001
7. Chọn thông tin nhận hàng
 VD: TP. Hồ Chí Minh / Quận 2 / Phường Bến Nghé
8. Điền Địa chỉ
 VD: abc
9. Bấm "Lưu"</t>
  </si>
  <si>
    <t>Cập nhật thông tin tài khoản - Email  thiếu com</t>
  </si>
  <si>
    <t>1. Mở trang thông tin cá nhân
2. Điền Tên
 VD: Phạm Thị Ánh Dương
3. Điền Email
 VD: anh1@gmail.
4. Điền SĐT
 VD: (trống)
5. Điền Giới tính
 VD: Nữ
6. Chọn ngày sinh
 VD: 11/11/2001
7. Chọn thông tin nhận hàng
 VD: TP. Hồ Chí Minh / Quận 2 / Phường Bến Nghé
8. Điền Địa chỉ
 VD: abc
9. Bấm "Lưu"</t>
  </si>
  <si>
    <t>Cập nhật thông tin tài khoản - Bỏ trống SĐT</t>
  </si>
  <si>
    <t>1. Mở trang thông tin cá nhân
2. Điền Tên
 VD: Phạm Thị Ánh Dương
3. Điền Email
 VD: anh1@gmail.com
4. Điền SĐT
 VD: (trống)
5. Điền Giới tính
 VD: Khác
6. Chọn ngày sinh
 VD: 11/11/2001
7. Chọn thông tin nhận hàng
 VD: TP. Hồ Chí Minh / Quận 2 / Phường Bến Nghé
8. Điền Địa chỉ
 VD: abc
9. Bấm "Lưu"</t>
  </si>
  <si>
    <t>Kiểm tra chức năng cập nhật tài khoản khi bỏ trống SĐT</t>
  </si>
  <si>
    <t>Cập nhật thông tin tài khoản - SĐT toàn chữ</t>
  </si>
  <si>
    <t>Kiểm tra chức năng cập nhật tài khoản khi SĐT sai định dạng</t>
  </si>
  <si>
    <t xml:space="preserve">Cập nhật thông tin tài khoản - SĐT &lt;10 ký tự số </t>
  </si>
  <si>
    <t>1. Mở trang thông tin cá nhân
2. Điền Tên
 VD: Phạm Thị Ánh Dương
3. Điền Email
 VD: anh1@gmail.com
4. Điền SĐT
 VD: abcd
5. Điền Giới tính
 VD: Nam
6. Chọn ngày sinh
 VD: 11/11/2001
7. Chọn thông tin nhận hàng
 VD: TP. Hồ Chí Minh / Quận 2 / Phường Bến Nghé
8. Điền Địa chỉ
 VD: abc
9. Bấm "Lưu"</t>
  </si>
  <si>
    <t>1. Mở trang thông tin cá nhân
2. Điền Tên
 VD: Phạm Thị Ánh Dương
3. Điền Email
 VD: anh1@gmail.com
4. Điền SĐT
 VD: 345
5. Điền Giới tính
 VD: Nữ
6. Chọn ngày sinh
 VD: 2/2/2006
7. Chọn thông tin nhận hàng
 VD: Hậu Giang / Huyện Châu Thành / Xã Đông Phước A
8. Điền Địa chỉ
 VD: abc
9. Bấm "Lưu"</t>
  </si>
  <si>
    <t xml:space="preserve">Cập nhật thông tin tài khoản - SĐT &gt;10 ký tự số </t>
  </si>
  <si>
    <t>Cập nhật thông tin tài khoản - SĐT chứa ký tự đặc biệt</t>
  </si>
  <si>
    <t>1. Mở trang thông tin cá nhân
2. Điền Tên
 VD: Phạm Thị Ánh Dương
3. Điền Email
 VD: anh1@gmail.com
4. Điền SĐT
 VD: !#$%^&amp;*()
5. Điền Giới tính
 VD: Nam
6. Chọn ngày sinh
 VD: 3/3/2007
7. Chọn thông tin nhận hàng
 VD: Hậu Giang / Huyện Châu Thành / Xã Đông Phước A
8. Điền Địa chỉ
 VD: abc
9. Bấm "Lưu"</t>
  </si>
  <si>
    <t>Hệ thống hiển thị thông báo "Vui lòng nhập phần đứng sau '@'. 'anh1@' không hoàn chỉnh."
Cập nhật thất bại</t>
  </si>
  <si>
    <t>Hệ thống hiển thị thông báo "Phần đứng sau '@' không được chứa biểu tượng '@'."
Cập nhật thất bại</t>
  </si>
  <si>
    <t>Hệ thống hiển thị thông báo ".' bị sử dụng sai vị trí trong 'gmail.'."
Cập nhật thất bại</t>
  </si>
  <si>
    <t>Hiển thị thông báo "Vui lòng điền vào trường này."
Cập nhật thất bại</t>
  </si>
  <si>
    <t>Hiển thị thông báo "Số điện thoại không hợp lệ"
Cập nhật thất bại</t>
  </si>
  <si>
    <t>1. Nhập Tên đăng nhập hợp lệ
VD: Nguyen_Pham_Nhat_Anh
2. Nhập SĐT
VD: 0359694333
3. Nhập Mật khẩu hợp lệ (8 &lt; Mật khẩu &lt; 20)
VD: Abcde12345
3. Nhập lại đúng Nhắc lại mật khẩu
VD: Abcde12345
4. Nhấn “Đăng ký”</t>
  </si>
  <si>
    <t>Đánh giá sản phẩm</t>
  </si>
  <si>
    <t>DG-1</t>
  </si>
  <si>
    <t>DG-2</t>
  </si>
  <si>
    <t>DG-3</t>
  </si>
  <si>
    <t>DG-4</t>
  </si>
  <si>
    <t>DG-5</t>
  </si>
  <si>
    <t>DG-6</t>
  </si>
  <si>
    <t>DG-7</t>
  </si>
  <si>
    <t>DG-8</t>
  </si>
  <si>
    <t>DG-9</t>
  </si>
  <si>
    <t>DG-10</t>
  </si>
  <si>
    <t>DG-11</t>
  </si>
  <si>
    <t>DG-12</t>
  </si>
  <si>
    <t>DG-13</t>
  </si>
  <si>
    <t>TT-1</t>
  </si>
  <si>
    <t>TT-2</t>
  </si>
  <si>
    <t>TT-3</t>
  </si>
  <si>
    <t>TT-4</t>
  </si>
  <si>
    <t>TT-5</t>
  </si>
  <si>
    <t>TT-6</t>
  </si>
  <si>
    <t>TT-7</t>
  </si>
  <si>
    <t>TT-8</t>
  </si>
  <si>
    <t>TT-9</t>
  </si>
  <si>
    <t>TT-10</t>
  </si>
  <si>
    <t>TT-11</t>
  </si>
  <si>
    <t>TT-12</t>
  </si>
  <si>
    <t>TT-13</t>
  </si>
  <si>
    <t>TT-14</t>
  </si>
  <si>
    <t>Đánh giá sản phẩm thành công</t>
  </si>
  <si>
    <t>Kiểm tra chức năng đánh giá sản phẩm</t>
  </si>
  <si>
    <t>Người dùng đã đăng nhập thành công tài khoản vào hệ thống.
Tìm kiếm sản phẩm cần đánh giá.
Chọn đánh giá sản phẩm, tab đánh giá sản phẩm hiển thị, người dùng điền thông tin đánh giá sản phẩm</t>
  </si>
  <si>
    <t>1. Mở tab Bình luận
2. Điền họ tên:
VD: Ánh Dương Phạm
3. Điền SĐT:
VD: 0321456789
4. Điền Email:
VD: anhduong@gmail.com
5. Điền tiêu đề:
VD: Giày xinh
6. Chọn số sao đánh giá:
VD: 4
7. Điền nội dung: 
VD: Giày rất đẹp, vừa form chân, y như hình
8. Chọn "Gửi"</t>
  </si>
  <si>
    <t xml:space="preserve">Hiển thị thông báo "Vui lòng nhập!"
Đánh giá không thành công. </t>
  </si>
  <si>
    <t xml:space="preserve">Hiển thị thông báo "Gửi bình luận thành công!".
Đánh giá thành công. </t>
  </si>
  <si>
    <t>1. Mở tab Bình luận
2. Điền họ tên:
VD: Ánh Dương Phạm
3. Điền SĐT:
VD: 0321456789
4. Điền Email:
VD: anhduong@gmail.com
5. Điền tiêu đề:
VD: Giày xinh
6. Chọn số sao đánh giá:
VD: 5
7. Điền nội dung: 
VD: Giày rất đẹp, vừa form chân, y như hình
8. Chọn "Gửi"</t>
  </si>
  <si>
    <t>1. Mở tab Bình luận
2. Điền họ tên:
VD: Ánh Dương Phạm
3. Điền SĐT:
VD: 0321456789
4. Bỏ trống Email
5. Điền tiêu đề:
VD: Giày xinh
6. Chọn số sao đánh giá:
VD: 2
7. Điền nội dung: 
VD: Giày rất đẹp, vừa form chân, y như hình
8. Chọn "Gửi"</t>
  </si>
  <si>
    <t>1. Mở tab Bình luận
2. Điền họ tên:
VD: Ánh Dương Phạm
3. Bỏ trống SĐT
4. Điền Email:
VD: anhduong@gmail.com
5. Điền tiêu đề:
VD: Giày xinh
6. Chọn số sao đánh giá:
VD: 3
7. Điền nội dung: 
VD: Giày rất đẹp, vừa form chân, y như hình
8. Chọn "Gửi"</t>
  </si>
  <si>
    <t>1. Mở tab Bình luận
2. Bỏ trống họ tên
3. Điền SĐT:
VD: 0321456789
4. Điền Email:
VD: anhduong@gmail.com
5. Điền tiêu đề:
VD: Giày xinh
6. Chọn số sao đánh giá:
VD: 5
7. Điền nội dung: 
VD: Giày rất đẹp, vừa form chân, y như hình
8. Chọn "Gửi"</t>
  </si>
  <si>
    <t>1. Mở tab Bình luận
2. Điền họ tên:
VD: Ánh Dương Phạm
3. Điền SĐT:
VD: 0321456789
4. Điền Email:
VD: anhduong@gmail.com
5. Bỏ trống tiêu đề:
6. Chọn số sao đánh giá:
VD: 1
7. Điền nội dung: 
VD: Giày rất đẹp, vừa form chân, y như hình
8. Chọn "Gửi"</t>
  </si>
  <si>
    <t>1. Mở tab Bình luận
2. Điền họ tên:
VD: Ánh Dương Phạm
3. Điền SĐT:
VD: 0321456789
4. Điền Email:
VD: anhduong@gmail.com
5. Điền tiêu đề:
VD: Giày xinh
6. Chọn số sao đánh giá:
VD: 0
7. Bỏ trống nội dung
8. Chọn "Gửi"</t>
  </si>
  <si>
    <t xml:space="preserve">Đánh giá sản phẩm không thành công - Bỏ trống Họ tên </t>
  </si>
  <si>
    <t>Đánh giá sản phẩm không thành công - Bỏ trống Số điện thoại</t>
  </si>
  <si>
    <t>Đánh giá sản phẩm không thành công - Bỏ trống Email</t>
  </si>
  <si>
    <t>Đánh giá sản phẩm không thành công - Bỏ trống Tiêu đề</t>
  </si>
  <si>
    <t>Đánh giá sản phẩm không thành công - Bỏ trống Nội dung</t>
  </si>
  <si>
    <t>Đánh giá sản phẩm không thành công - SĐT  &lt;10 số</t>
  </si>
  <si>
    <t xml:space="preserve">Hiển thị thông báo "Số điện thoại không hợp lệ"
Đánh giá không thành công. </t>
  </si>
  <si>
    <t>Đánh giá sản phẩm không thành công - SĐT   toàn chữ</t>
  </si>
  <si>
    <t>1. Mở tab Bình luận
2. Điền họ tên:
VD: Ánh Dương Phạm
3. Điền SĐT:
VD: abdc
4. Điền Email:
VD: anhduong@gmail.com
5. Điền tiêu đề:
VD: Giày xinh
6. Chọn số sao đánh giá:
VD: 4
7. Điền nội dung: 
VD: Giày rất đẹp, vừa form chân, y như hình
8. Chọn "Gửi"</t>
  </si>
  <si>
    <t>Đánh giá sản phẩm không thành công - SĐT   toàn ký tự</t>
  </si>
  <si>
    <t>1. Mở tab Bình luận
2. Điền họ tên:
VD: Ánh Dương Phạm
3. Điền SĐT:
VD: !@#$%
4. Điền Email:
VD: anhduong@gmail.com
5. Điền tiêu đề:
VD: Giày xinh
6. Chọn số sao đánh giá:
VD: 5
7. Điền nội dung: 
VD: Giày rất đẹp, vừa form chân, y như hình
8. Chọn "Gửi"</t>
  </si>
  <si>
    <t>Đánh giá sản phẩm không thành công - SĐT  &gt;10 số</t>
  </si>
  <si>
    <t>1. Mở tab Bình luận
2. Điền họ tên:
VD: Ánh Dương Phạm
3. Điền SĐT:
VD: 032145678999
4. Điền Email:
VD: anhduong@gmail.com
5. Điền tiêu đề:
VD: Giày xinh
6. Chọn số sao đánh giá:
VD: 4
7. Điền nội dung: 
VD: Giày rất đẹp, vừa form chân, y như hình
8. Chọn "Gửi"</t>
  </si>
  <si>
    <t>Đánh giá sản phẩm không thành công - Email thiếu gmail.com</t>
  </si>
  <si>
    <t>1. Mở tab Bình luận
2. Điền họ tên:
VD: Ánh Dương Phạm
3. Điền SĐT:
VD: 0321456789
4. Điền Email:
VD: anh1@
5. Điền tiêu đề:
VD: Giày xinh
6. Chọn số sao đánh giá:
VD: 4
7. Điền nội dung: 
VD: Giày rất đẹp, vừa form chân, y như hình
8. Chọn "Gửi"</t>
  </si>
  <si>
    <t>Hiển thị thông báo "Email không đúng định dạng"
Cập nhật thất bại</t>
  </si>
  <si>
    <t>1. Mở tab Bình luận
2. Điền họ tên:
VD: Ánh Dương Phạm
3. Điền SĐT:
VD: 0321456789
4. Điền Email:
VD: anh1@@
5. Điền tiêu đề:
VD: Giày xinh
6. Chọn số sao đánh giá:
VD: 5
7. Điền nội dung: 
VD: Giày rất đẹp, vừa form chân, y như hình
8. Chọn "Gửi"</t>
  </si>
  <si>
    <t>1. Mở tab Bình luận
2. Điền họ tên:
VD: Ánh Dương Phạm
3. Điền SĐT:
VD: 0321456789
4. Điền Email:
VD: anh1@gmail.
5. Điền tiêu đề:
VD: Giày xinh
6. Chọn số sao đánh giá:
VD: 5
7. Điền nội dung: 
VD: Giày rất đẹp, vừa form chân, y như hình
8. Chọn "Gửi"</t>
  </si>
  <si>
    <t>Đánh giá sản phẩm không thành công - Email thiếu com</t>
  </si>
  <si>
    <t>Đánh giá sản phẩm không thành công - Email chứa ký tự đặc biệt "@"</t>
  </si>
  <si>
    <t>Đặt hàng</t>
  </si>
  <si>
    <t>DH-1</t>
  </si>
  <si>
    <t>DH-2</t>
  </si>
  <si>
    <t>DH-3</t>
  </si>
  <si>
    <t>DH-4</t>
  </si>
  <si>
    <t>DH-5</t>
  </si>
  <si>
    <t>DH-6</t>
  </si>
  <si>
    <t>DH-7</t>
  </si>
  <si>
    <t>DH-8</t>
  </si>
  <si>
    <t>DH-9</t>
  </si>
  <si>
    <t>Đặt hàng thành công</t>
  </si>
  <si>
    <t>Kiểm tra người dùng có thể đặt hàng thành công</t>
  </si>
  <si>
    <t>Sản phẩm còn hàng</t>
  </si>
  <si>
    <t>1. Nhập Tên sản phẩm muốn mua vào ô tìm kiếm
VD: Giày Cao Gót MWC 4431
2. Chọn màu sắc, size
VD: bạc, 39
3. Nhấn Mua ngay
4. Nhập tên
VD: Phạm Ánh Dương
5. Nhập SĐT
VD: 0905123456
6. Nhập Address
VD: 123 Lý Thường Kiệt
7. Chọn Tỉnh
VD: TP Hồ Chí Minh
8. Chọn Quận/Huyện
VD: Quận 1
9. Chọn Xã/Phưỡng
VD: Phường Bến Nghé
10. Nhấn "Đặt hàng"</t>
  </si>
  <si>
    <t>1. Nhập Tên sản phẩm muốn mua vào ô tìm kiếm
VD: Giày Cao Gót MWC 4431
2. Chọn màu sắc, size
VD: bạc, 36
3. Nhấn Mua ngay
4. Bỏ tên
5. Nhập SĐT
VD: 0905123456
6. Nhập Address
VD: 123 ABC
7. Chọn Tỉnh
VD: TP Cần Thơ
8. Chọn Quận/Huyện
VD: Quận Ninh Kiều
9. Chọn Xã/Phưỡng
VD: Phường An Bình
10. Nhấn "Đặt hàng"</t>
  </si>
  <si>
    <t>Hiển thị thông báo "Bạn chưa nhập thông tin nhận hàng!"
Đặt hàng không thành công</t>
  </si>
  <si>
    <t>Hiển thị thông báo "Đặt hàng thành công!"
Đặt hàng thành công</t>
  </si>
  <si>
    <t>Bỏ trống thông tin - Họ tên</t>
  </si>
  <si>
    <t>Bỏ trống thông tin - SĐT</t>
  </si>
  <si>
    <t>1. Nhập Tên sản phẩm muốn mua vào ô tìm kiếm
VD: Giày Cao Gót MWC 4431
2. Chọn màu sắc, size
VD: đen, 35
3. Nhấn Mua ngay
4. Nhập tên
VD: Ánh Dương
5. Bỏ SĐT
6. Nhập Address
VD: 123 ABC
7. Chọn Tỉnh
VD: TP Hồ Chí Minh
8. Chọn Quận/Huyện
VD: Quận 1
9. Chọn Xã/Phưỡng
VD: Phường Bến Nghé
10. Nhấn "Đặt hàng"</t>
  </si>
  <si>
    <t>Bỏ trống thông tin - Địa chỉ</t>
  </si>
  <si>
    <t>1. Nhập Tên sản phẩm muốn mua vào ô tìm kiếm
VD: Giày Cao Gót MWC 4431
2. Chọn màu sắc, size
VD: đen, 38
3. Nhấn Mua ngay
4. Nhập tên
VD: Phạm Ánh
5. Nhập SĐT
VD: 0905123456
6. Bỏ Address
7. Chọn Tỉnh
VD: Tây Ninh
8. Chọn Quận/Huyện
VD: Huyện Tân Châu
9. Chọn Xã/Phưỡng
VD: Xã Suối Ngô
10. Nhấn "Đặt hàng"</t>
  </si>
  <si>
    <t>Bỏ trống thông tin - Không chọn Tỉnh - Quận/Huyện - Xã/Phường</t>
  </si>
  <si>
    <t>1. Nhập Tên sản phẩm muốn mua vào ô tìm kiếm
VD: Giày Cao Gót MWC 4431
2. Chọn màu sắc, size
VD: đen, 38
3. Nhấn Mua ngay
4. Nhập tên
VD: Phạm Dương
5. Nhập SĐT
VD: 0905123456
6. Nhập Address
VD: 123 Lý Thường Kiệt
7. Bỏ chọn Tỉnh
8. Bỏ chọn Quận/Huyện
9. Bỏ chọn Xã/Phưỡng
10. Nhấn "Đặt hàng"</t>
  </si>
  <si>
    <t>Số điện thoại không đúng định dạng &lt; 10 ký tự số</t>
  </si>
  <si>
    <t>1. Nhập Tên sản phẩm muốn mua vào ô tìm kiếm
VD: Giày Cao Gót MWC 4431
2. Chọn màu sắc, size
VD: bạc, 37
3. Nhấn Mua ngay
4. Nhập tên
VD:Ánh Dương
5. Nhập SĐT
VD: 3321156
6. Nhập Address
VD: 456 DEF
7. Chọn Tỉnh
VD: TP Hồ Chí Minh
8. Chọn Quận/Huyện
VD: Quận 10
9. Chọn Xã/Phưỡng
VD: Phường 1
10. Nhấn "Đặt hàng"</t>
  </si>
  <si>
    <t>Hiển thị thông báo "SĐT không đúng định dạng"
Đặt hàng không thành công</t>
  </si>
  <si>
    <t>Số điện thoại không đúng định dạng &gt; 10 ký tự số</t>
  </si>
  <si>
    <t>1. Nhập Tên sản phẩm muốn mua vào ô tìm kiếm
VD: Giày Cao Gót MWC 4431
2. Chọn màu sắc, size
VD: bạc, 35
3. Nhấn Mua ngay
4. Nhập tên
VD: Phạm Ánh Dương
5. Nhập SĐT
VD: 0905123456666
6. Nhập Address
VD: 123 Lý Thường Kiệt
7. Chọn Tỉnh
VD: Hậu Giang
8. Chọn Quận/Huyện
VD: Huyện Châu Thành A
9. Chọn Xã/Phưỡng
VD: Thị trấn Bảy Ngàn
10. Nhấn "Đặt hàng"</t>
  </si>
  <si>
    <t>Số điện thoại không đúng định dạng chứa ký tự đặc biệt</t>
  </si>
  <si>
    <t>1. Nhập Tên sản phẩm muốn mua vào ô tìm kiếm
VD: Giày Cao Gót MWC 4431
2. Chọn màu sắc, size
VD: bạc, 36
3. Nhấn Mua ngay
4. Nhập tên
VD: Phạm Dương
5. Nhập SĐT
VD: 090512345@
6. Nhập Address
VD: 123 ABC
7. Chọn Tỉnh
VD: Tiền Giang
8. Chọn Quận/Huyện
VD: Thành phố Mỹ Tho
9. Chọn Xã/Phưỡng
VD: Phường 10
10. Nhấn "Đặt hàng"</t>
  </si>
  <si>
    <t>Số điện thoại không đúng định dạng chứa ký tự chữ</t>
  </si>
  <si>
    <t>1. Nhập Tên sản phẩm muốn mua vào ô tìm kiếm
VD: Giày Cao Gót MWC 4431
2. Chọn màu sắc, size
VD: đen, 35
3. Nhấn Mua ngay
4. Nhập tên
VD: Ánh Dương
5. Nhập SĐT
VD: 09051234ba
6. Nhập Address
VD: 456 DEF
7. Chọn Tỉnh
VD: Vĩnh Long
8. Chọn Quận/Huyện
VD: Huyện Trà Ôn
9. Chọn Xã/Phưỡng
VD: Thị trấn Trà Ôn
10. Nhấn "Đặt hàng"</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</si>
</sst>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1"/>
      <color theme="1"/>
      <name val="Calibri"/>
      <charset val="134"/>
      <scheme val="minor"/>
    </font>
    <font>
      <sz val="11"/>
      <color theme="1"/>
      <name val="Calibri"/>
      <family val="2"/>
      <scheme val="minor"/>
    </font>
    <font>
      <sz val="13"/>
      <name val="Times New Roman"/>
      <charset val="134"/>
    </font>
    <font>
      <b/>
      <u/>
      <sz val="13"/>
      <color indexed="12"/>
      <name val="Times New Roman"/>
      <charset val="134"/>
    </font>
    <font>
      <b/>
      <sz val="13"/>
      <name val="Times New Roman"/>
      <charset val="134"/>
    </font>
    <font>
      <b/>
      <sz val="13"/>
      <color theme="1"/>
      <name val="Times New Roman"/>
      <charset val="134"/>
    </font>
    <font>
      <sz val="13"/>
      <color theme="1"/>
      <name val="Times New Roman"/>
      <charset val="134"/>
    </font>
    <font>
      <b/>
      <sz val="13"/>
      <color rgb="FF000000"/>
      <name val="Times New Roman"/>
      <charset val="134"/>
    </font>
    <font>
      <sz val="12"/>
      <color theme="1"/>
      <name val="Times New Roman"/>
      <charset val="134"/>
    </font>
    <font>
      <u/>
      <sz val="11"/>
      <color theme="10"/>
      <name val="Calibri"/>
      <charset val="134"/>
      <scheme val="minor"/>
    </font>
    <font>
      <sz val="11"/>
      <name val="ＭＳ Ｐゴシック"/>
      <charset val="128"/>
    </font>
    <font>
      <sz val="11"/>
      <color theme="1"/>
      <name val="Times New Roman"/>
      <family val="1"/>
    </font>
    <font>
      <sz val="8"/>
      <name val="Calibri"/>
      <family val="2"/>
      <scheme val="minor"/>
    </font>
    <font>
      <sz val="13"/>
      <color theme="1"/>
      <name val="Times New Roman"/>
      <family val="1"/>
    </font>
    <font>
      <b/>
      <sz val="13"/>
      <color theme="1"/>
      <name val="Times New Roman"/>
      <family val="1"/>
    </font>
    <font>
      <sz val="8"/>
      <name val="Calibri"/>
      <charset val="134"/>
      <scheme val="minor"/>
    </font>
    <font>
      <b/>
      <sz val="13"/>
      <name val="Times New Roman"/>
      <family val="1"/>
    </font>
    <font>
      <b/>
      <sz val="11"/>
      <color theme="1"/>
      <name val="Times New Roman"/>
      <family val="1"/>
    </font>
    <font>
      <b/>
      <u/>
      <sz val="13"/>
      <color indexed="12"/>
      <name val="Times  New Roman"/>
    </font>
    <font>
      <sz val="13"/>
      <name val="Times  New Roman"/>
    </font>
    <font>
      <b/>
      <sz val="13"/>
      <name val="Times  New Roman"/>
    </font>
    <font>
      <b/>
      <sz val="13"/>
      <color rgb="FF000000"/>
      <name val="Times  New Roman"/>
    </font>
    <font>
      <b/>
      <sz val="13"/>
      <color theme="1"/>
      <name val="Times  New Roman"/>
    </font>
    <font>
      <sz val="11"/>
      <color theme="1"/>
      <name val="Times  New Roman"/>
    </font>
    <font>
      <sz val="13"/>
      <color theme="1"/>
      <name val="Times  New Roman"/>
    </font>
    <font>
      <sz val="12"/>
      <color theme="1"/>
      <name val="Times New Roman"/>
      <family val="1"/>
    </font>
    <font>
      <sz val="11"/>
      <color theme="1"/>
      <name val="Calibri"/>
      <charset val="134"/>
      <scheme val="minor"/>
    </font>
    <font>
      <sz val="13"/>
      <name val="Times New Roman"/>
      <family val="1"/>
    </font>
  </fonts>
  <fills count="13">
    <fill>
      <patternFill patternType="none"/>
    </fill>
    <fill>
      <patternFill patternType="gray125"/>
    </fill>
    <fill>
      <patternFill patternType="solid">
        <fgColor theme="0" tint="-4.9989318521683403E-2"/>
        <bgColor indexed="55"/>
      </patternFill>
    </fill>
    <fill>
      <patternFill patternType="solid">
        <fgColor theme="0"/>
        <bgColor indexed="55"/>
      </patternFill>
    </fill>
    <fill>
      <patternFill patternType="solid">
        <fgColor theme="8" tint="0.39994506668294322"/>
        <bgColor indexed="64"/>
      </patternFill>
    </fill>
    <fill>
      <patternFill patternType="solid">
        <fgColor theme="8" tint="0.39991454817346722"/>
        <bgColor indexed="64"/>
      </patternFill>
    </fill>
    <fill>
      <patternFill patternType="solid">
        <fgColor theme="0"/>
        <bgColor indexed="64"/>
      </patternFill>
    </fill>
    <fill>
      <patternFill patternType="solid">
        <fgColor rgb="FF92D050"/>
        <bgColor indexed="64"/>
      </patternFill>
    </fill>
    <fill>
      <patternFill patternType="solid">
        <fgColor theme="4"/>
        <bgColor indexed="64"/>
      </patternFill>
    </fill>
    <fill>
      <patternFill patternType="solid">
        <fgColor theme="8" tint="0.39997558519241921"/>
        <bgColor indexed="64"/>
      </patternFill>
    </fill>
    <fill>
      <patternFill patternType="solid">
        <fgColor rgb="FFFF7474"/>
        <bgColor indexed="64"/>
      </patternFill>
    </fill>
    <fill>
      <patternFill patternType="solid">
        <fgColor rgb="FFFFFF00"/>
        <bgColor indexed="64"/>
      </patternFill>
    </fill>
    <fill>
      <patternFill patternType="solid">
        <fgColor theme="6" tint="0.59999389629810485"/>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s>
  <cellStyleXfs count="4">
    <xf numFmtId="0" fontId="0" fillId="0" borderId="0">
      <alignment vertical="center"/>
    </xf>
    <xf numFmtId="0" fontId="9" fillId="0" borderId="0" applyNumberFormat="0" applyFill="0" applyBorder="0" applyAlignment="0" applyProtection="0">
      <alignment vertical="center"/>
    </xf>
    <xf numFmtId="0" fontId="10" fillId="0" borderId="0"/>
    <xf numFmtId="9" fontId="26" fillId="0" borderId="0" applyFont="0" applyFill="0" applyBorder="0" applyAlignment="0" applyProtection="0"/>
  </cellStyleXfs>
  <cellXfs count="102">
    <xf numFmtId="0" fontId="0" fillId="0" borderId="0" xfId="0">
      <alignment vertical="center"/>
    </xf>
    <xf numFmtId="0" fontId="2" fillId="0" borderId="0" xfId="0" applyFont="1" applyAlignment="1"/>
    <xf numFmtId="0" fontId="3" fillId="2" borderId="1" xfId="1" applyFont="1" applyFill="1" applyBorder="1" applyAlignment="1">
      <alignment horizontal="left" vertical="top" wrapText="1"/>
    </xf>
    <xf numFmtId="0" fontId="2" fillId="2" borderId="1" xfId="0" applyFont="1" applyFill="1" applyBorder="1" applyAlignment="1">
      <alignment horizontal="lef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4" fillId="2" borderId="1" xfId="2" applyFont="1" applyFill="1" applyBorder="1" applyAlignment="1">
      <alignment horizontal="left" vertical="top" wrapText="1"/>
    </xf>
    <xf numFmtId="0" fontId="2" fillId="2" borderId="1" xfId="2" applyFont="1" applyFill="1" applyBorder="1" applyAlignment="1">
      <alignment horizontal="left" vertical="top" wrapText="1"/>
    </xf>
    <xf numFmtId="2" fontId="2" fillId="2" borderId="1" xfId="0" applyNumberFormat="1" applyFont="1" applyFill="1" applyBorder="1" applyAlignment="1">
      <alignment vertical="top" wrapText="1"/>
    </xf>
    <xf numFmtId="2" fontId="2" fillId="3" borderId="1" xfId="0" applyNumberFormat="1" applyFont="1" applyFill="1" applyBorder="1" applyAlignment="1">
      <alignment vertical="top" wrapText="1"/>
    </xf>
    <xf numFmtId="0" fontId="6" fillId="0" borderId="1" xfId="0" applyFont="1" applyBorder="1" applyAlignment="1">
      <alignment horizontal="left" vertical="center" wrapText="1"/>
    </xf>
    <xf numFmtId="0" fontId="5" fillId="5" borderId="1" xfId="0" applyFont="1" applyFill="1" applyBorder="1" applyAlignment="1">
      <alignment horizontal="center" vertical="center" wrapText="1"/>
    </xf>
    <xf numFmtId="0" fontId="0" fillId="0" borderId="0" xfId="0" applyAlignment="1">
      <alignment horizontal="center"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7" fillId="4" borderId="0" xfId="0" applyFont="1" applyFill="1" applyAlignment="1">
      <alignment horizontal="center" vertical="center"/>
    </xf>
    <xf numFmtId="0" fontId="2" fillId="0" borderId="0" xfId="0" applyFont="1" applyAlignment="1">
      <alignment horizontal="center"/>
    </xf>
    <xf numFmtId="0" fontId="8" fillId="0" borderId="1" xfId="0" applyFont="1" applyBorder="1" applyAlignment="1">
      <alignment vertical="center" wrapText="1"/>
    </xf>
    <xf numFmtId="0" fontId="13" fillId="0" borderId="1" xfId="0" applyFont="1" applyBorder="1" applyAlignment="1">
      <alignment vertical="center" wrapText="1"/>
    </xf>
    <xf numFmtId="0" fontId="13" fillId="0" borderId="1" xfId="0" applyFont="1" applyBorder="1" applyAlignment="1">
      <alignment horizontal="center" vertical="center"/>
    </xf>
    <xf numFmtId="0" fontId="13" fillId="0" borderId="0" xfId="0" applyFont="1" applyAlignment="1">
      <alignment vertical="center" wrapText="1"/>
    </xf>
    <xf numFmtId="0" fontId="16" fillId="2" borderId="1" xfId="2" applyFont="1" applyFill="1" applyBorder="1" applyAlignment="1">
      <alignment horizontal="left" vertical="top" wrapText="1"/>
    </xf>
    <xf numFmtId="0" fontId="13" fillId="0" borderId="1" xfId="0" applyFont="1" applyBorder="1" applyAlignment="1">
      <alignment horizontal="center" vertical="center" wrapText="1"/>
    </xf>
    <xf numFmtId="0" fontId="13" fillId="0" borderId="0" xfId="0" applyFont="1">
      <alignment vertical="center"/>
    </xf>
    <xf numFmtId="0" fontId="13" fillId="0" borderId="1" xfId="0" applyFont="1" applyBorder="1" applyAlignment="1">
      <alignment horizontal="left" vertical="center" wrapText="1"/>
    </xf>
    <xf numFmtId="0" fontId="11" fillId="6" borderId="1" xfId="0" applyFont="1" applyFill="1" applyBorder="1" applyAlignment="1">
      <alignment horizontal="center" vertical="center"/>
    </xf>
    <xf numFmtId="0" fontId="11" fillId="6" borderId="1" xfId="0" applyFont="1" applyFill="1" applyBorder="1" applyAlignment="1">
      <alignment horizontal="left" vertical="center"/>
    </xf>
    <xf numFmtId="0" fontId="17" fillId="8" borderId="1" xfId="0" applyFont="1" applyFill="1" applyBorder="1" applyAlignment="1">
      <alignment horizontal="center" vertical="center"/>
    </xf>
    <xf numFmtId="0" fontId="16" fillId="9" borderId="1" xfId="0" applyFont="1" applyFill="1" applyBorder="1" applyAlignment="1">
      <alignment horizontal="center" vertical="center" wrapText="1"/>
    </xf>
    <xf numFmtId="0" fontId="18" fillId="2" borderId="1" xfId="1"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 xfId="0" applyFont="1" applyFill="1" applyBorder="1" applyAlignment="1">
      <alignment vertical="top" wrapText="1"/>
    </xf>
    <xf numFmtId="0" fontId="19" fillId="3" borderId="1" xfId="0" applyFont="1" applyFill="1" applyBorder="1" applyAlignment="1">
      <alignment vertical="top" wrapText="1"/>
    </xf>
    <xf numFmtId="0" fontId="19" fillId="0" borderId="0" xfId="0" applyFont="1" applyAlignment="1"/>
    <xf numFmtId="0" fontId="20" fillId="2" borderId="1" xfId="2" applyFont="1" applyFill="1" applyBorder="1" applyAlignment="1">
      <alignment horizontal="left" vertical="top" wrapText="1"/>
    </xf>
    <xf numFmtId="0" fontId="19" fillId="2" borderId="1" xfId="2" applyFont="1" applyFill="1" applyBorder="1" applyAlignment="1">
      <alignment horizontal="left" vertical="top" wrapText="1"/>
    </xf>
    <xf numFmtId="2" fontId="19" fillId="2" borderId="1" xfId="0" applyNumberFormat="1" applyFont="1" applyFill="1" applyBorder="1" applyAlignment="1">
      <alignment vertical="top" wrapText="1"/>
    </xf>
    <xf numFmtId="2" fontId="19" fillId="3" borderId="1" xfId="0" applyNumberFormat="1" applyFont="1" applyFill="1" applyBorder="1" applyAlignment="1">
      <alignment vertical="top" wrapText="1"/>
    </xf>
    <xf numFmtId="0" fontId="22" fillId="5" borderId="1" xfId="0" applyFont="1" applyFill="1" applyBorder="1" applyAlignment="1">
      <alignment horizontal="center" vertical="center" wrapText="1"/>
    </xf>
    <xf numFmtId="0" fontId="22" fillId="5" borderId="2" xfId="0" applyFont="1" applyFill="1" applyBorder="1" applyAlignment="1">
      <alignment horizontal="center" vertical="center" wrapText="1"/>
    </xf>
    <xf numFmtId="0" fontId="22" fillId="5" borderId="5" xfId="0" applyFont="1" applyFill="1" applyBorder="1" applyAlignment="1">
      <alignment horizontal="center" vertical="center" wrapText="1"/>
    </xf>
    <xf numFmtId="0" fontId="23" fillId="0" borderId="0" xfId="0" applyFont="1" applyAlignment="1">
      <alignment horizontal="center" vertical="center"/>
    </xf>
    <xf numFmtId="0" fontId="24" fillId="0" borderId="1" xfId="0" applyFont="1" applyBorder="1" applyAlignment="1">
      <alignment vertical="center" wrapText="1"/>
    </xf>
    <xf numFmtId="0" fontId="23" fillId="0" borderId="0" xfId="0" applyFont="1">
      <alignment vertical="center"/>
    </xf>
    <xf numFmtId="0" fontId="24" fillId="0" borderId="0" xfId="0" applyFont="1" applyAlignment="1">
      <alignment horizontal="left" vertical="center" wrapText="1"/>
    </xf>
    <xf numFmtId="0" fontId="24" fillId="0" borderId="0" xfId="0" applyFont="1">
      <alignment vertical="center"/>
    </xf>
    <xf numFmtId="0" fontId="24" fillId="0" borderId="0" xfId="0" applyFont="1" applyAlignment="1">
      <alignment horizontal="center" vertical="center"/>
    </xf>
    <xf numFmtId="0" fontId="24" fillId="0" borderId="1" xfId="0" applyFont="1" applyBorder="1" applyAlignment="1">
      <alignment horizontal="center" vertical="center" wrapText="1"/>
    </xf>
    <xf numFmtId="0" fontId="24" fillId="0" borderId="0" xfId="0" applyFont="1" applyAlignment="1">
      <alignment horizontal="center" vertical="center" wrapText="1"/>
    </xf>
    <xf numFmtId="0" fontId="24" fillId="0" borderId="1" xfId="0" applyFont="1" applyBorder="1" applyAlignment="1">
      <alignment horizontal="left" vertical="center" wrapText="1"/>
    </xf>
    <xf numFmtId="0" fontId="21" fillId="4" borderId="0" xfId="0" applyFont="1" applyFill="1" applyAlignment="1">
      <alignment horizontal="center" vertical="center" wrapText="1"/>
    </xf>
    <xf numFmtId="0" fontId="22" fillId="4" borderId="1" xfId="0" applyFont="1" applyFill="1" applyBorder="1" applyAlignment="1">
      <alignment horizontal="center" vertical="center" wrapText="1"/>
    </xf>
    <xf numFmtId="0" fontId="24" fillId="0" borderId="0" xfId="0" applyFont="1" applyAlignment="1">
      <alignment vertical="center" wrapText="1"/>
    </xf>
    <xf numFmtId="0" fontId="13" fillId="0" borderId="1" xfId="0" applyFont="1" applyBorder="1">
      <alignment vertical="center"/>
    </xf>
    <xf numFmtId="0" fontId="25" fillId="0" borderId="1" xfId="0" applyFont="1" applyBorder="1" applyAlignment="1">
      <alignment vertical="center" wrapText="1"/>
    </xf>
    <xf numFmtId="0" fontId="19" fillId="0" borderId="0" xfId="0" applyFont="1" applyAlignment="1">
      <alignment horizontal="center"/>
    </xf>
    <xf numFmtId="0" fontId="14" fillId="9" borderId="1" xfId="0" applyFont="1" applyFill="1" applyBorder="1" applyAlignment="1">
      <alignment horizontal="center" vertical="center" wrapText="1"/>
    </xf>
    <xf numFmtId="0" fontId="11" fillId="0" borderId="0" xfId="0" applyFont="1">
      <alignment vertical="center"/>
    </xf>
    <xf numFmtId="0" fontId="11" fillId="0" borderId="0" xfId="0" applyFont="1" applyAlignment="1">
      <alignment horizontal="center" vertical="center"/>
    </xf>
    <xf numFmtId="0" fontId="11" fillId="0" borderId="1" xfId="0" applyFont="1" applyBorder="1" applyAlignment="1">
      <alignment horizontal="center" vertical="center"/>
    </xf>
    <xf numFmtId="0" fontId="25" fillId="0" borderId="0" xfId="0" applyFont="1">
      <alignment vertical="center"/>
    </xf>
    <xf numFmtId="0" fontId="1" fillId="0" borderId="0" xfId="0" applyFont="1">
      <alignment vertical="center"/>
    </xf>
    <xf numFmtId="0" fontId="17" fillId="7" borderId="1" xfId="0" applyFont="1" applyFill="1" applyBorder="1" applyAlignment="1">
      <alignment horizontal="center" vertical="center"/>
    </xf>
    <xf numFmtId="9" fontId="17" fillId="7" borderId="1" xfId="3" applyFont="1" applyFill="1" applyBorder="1" applyAlignment="1">
      <alignment horizontal="center" vertical="center"/>
    </xf>
    <xf numFmtId="0" fontId="17" fillId="10" borderId="1" xfId="0" applyFont="1" applyFill="1" applyBorder="1" applyAlignment="1">
      <alignment horizontal="center" vertical="center"/>
    </xf>
    <xf numFmtId="9" fontId="17" fillId="10" borderId="1" xfId="3" applyFont="1" applyFill="1" applyBorder="1" applyAlignment="1">
      <alignment horizontal="center" vertical="center"/>
    </xf>
    <xf numFmtId="0" fontId="17" fillId="11" borderId="1" xfId="0" applyFont="1" applyFill="1" applyBorder="1" applyAlignment="1">
      <alignment horizontal="center" vertical="center"/>
    </xf>
    <xf numFmtId="9" fontId="17" fillId="11" borderId="1" xfId="3" applyFont="1" applyFill="1" applyBorder="1" applyAlignment="1">
      <alignment horizontal="center" vertical="center"/>
    </xf>
    <xf numFmtId="0" fontId="17" fillId="12" borderId="1" xfId="0" applyFont="1" applyFill="1" applyBorder="1" applyAlignment="1">
      <alignment horizontal="center" vertical="center"/>
    </xf>
    <xf numFmtId="9" fontId="17" fillId="12" borderId="1" xfId="3" applyFont="1" applyFill="1" applyBorder="1" applyAlignment="1">
      <alignment horizontal="center" vertical="center"/>
    </xf>
    <xf numFmtId="9" fontId="17" fillId="8" borderId="1" xfId="3" applyFont="1" applyFill="1" applyBorder="1" applyAlignment="1">
      <alignment horizontal="center" vertical="center"/>
    </xf>
    <xf numFmtId="0" fontId="25" fillId="0" borderId="1" xfId="0" applyFont="1" applyBorder="1" applyAlignment="1">
      <alignment horizontal="center" vertical="center" wrapText="1"/>
    </xf>
    <xf numFmtId="0" fontId="24" fillId="0" borderId="4" xfId="0" applyFont="1" applyBorder="1" applyAlignment="1">
      <alignment horizontal="center" vertical="center" wrapText="1"/>
    </xf>
    <xf numFmtId="0" fontId="24" fillId="0" borderId="7" xfId="0" applyFont="1" applyBorder="1" applyAlignment="1">
      <alignment horizontal="center" vertical="center" wrapText="1"/>
    </xf>
    <xf numFmtId="0" fontId="24" fillId="0" borderId="0" xfId="0" applyFont="1" applyBorder="1" applyAlignment="1">
      <alignment horizontal="center" vertical="center" wrapText="1"/>
    </xf>
    <xf numFmtId="0" fontId="24" fillId="0" borderId="2" xfId="0" applyFont="1" applyBorder="1" applyAlignment="1">
      <alignment horizontal="center" vertical="center" wrapText="1"/>
    </xf>
    <xf numFmtId="0" fontId="13" fillId="0" borderId="0" xfId="0" applyFont="1" applyBorder="1" applyAlignment="1">
      <alignment horizontal="left" vertical="center" wrapText="1"/>
    </xf>
    <xf numFmtId="0" fontId="24" fillId="0" borderId="0" xfId="0" applyFont="1" applyBorder="1" applyAlignment="1">
      <alignment horizontal="left" vertical="center" wrapText="1"/>
    </xf>
    <xf numFmtId="0" fontId="13" fillId="0" borderId="0" xfId="0" applyFont="1" applyBorder="1" applyAlignment="1">
      <alignment vertical="center" wrapText="1"/>
    </xf>
    <xf numFmtId="0" fontId="24" fillId="0" borderId="0" xfId="0" applyFont="1" applyBorder="1" applyAlignment="1">
      <alignment vertical="center" wrapText="1"/>
    </xf>
    <xf numFmtId="0" fontId="13" fillId="0" borderId="0" xfId="0" applyFont="1" applyBorder="1" applyAlignment="1">
      <alignment horizontal="center" vertical="center" wrapText="1"/>
    </xf>
    <xf numFmtId="0" fontId="24" fillId="0" borderId="0" xfId="0" applyFont="1" applyBorder="1">
      <alignment vertical="center"/>
    </xf>
    <xf numFmtId="0" fontId="13" fillId="0" borderId="7" xfId="0" applyFont="1" applyBorder="1" applyAlignment="1">
      <alignment horizontal="left" vertical="center" wrapText="1"/>
    </xf>
    <xf numFmtId="0" fontId="24" fillId="0" borderId="7" xfId="0" applyFont="1" applyBorder="1" applyAlignment="1">
      <alignment horizontal="left" vertical="center" wrapText="1"/>
    </xf>
    <xf numFmtId="0" fontId="13" fillId="0" borderId="7" xfId="0" applyFont="1" applyBorder="1" applyAlignment="1">
      <alignment vertical="center" wrapText="1"/>
    </xf>
    <xf numFmtId="0" fontId="24" fillId="0" borderId="7" xfId="0" applyFont="1" applyBorder="1" applyAlignment="1">
      <alignment vertical="center" wrapText="1"/>
    </xf>
    <xf numFmtId="0" fontId="7"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25" fillId="0" borderId="0" xfId="0" applyFont="1" applyBorder="1" applyAlignment="1">
      <alignment vertical="center" wrapText="1"/>
    </xf>
    <xf numFmtId="0" fontId="25" fillId="0" borderId="2"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3" xfId="0" applyFont="1" applyBorder="1" applyAlignment="1">
      <alignment vertical="center" wrapText="1"/>
    </xf>
    <xf numFmtId="0" fontId="8" fillId="0" borderId="3" xfId="0" applyFont="1" applyBorder="1" applyAlignment="1">
      <alignment vertical="center" wrapText="1"/>
    </xf>
    <xf numFmtId="0" fontId="24" fillId="0" borderId="3" xfId="0" applyFont="1" applyBorder="1" applyAlignment="1">
      <alignment horizontal="center" vertical="center" wrapText="1"/>
    </xf>
    <xf numFmtId="0" fontId="27" fillId="2" borderId="1" xfId="0" applyFont="1" applyFill="1" applyBorder="1" applyAlignment="1">
      <alignment vertical="top" wrapText="1"/>
    </xf>
    <xf numFmtId="2" fontId="27" fillId="2" borderId="1" xfId="0" applyNumberFormat="1" applyFont="1" applyFill="1" applyBorder="1" applyAlignment="1">
      <alignment vertical="top" wrapText="1"/>
    </xf>
    <xf numFmtId="0" fontId="14" fillId="5" borderId="1" xfId="0" applyFont="1" applyFill="1" applyBorder="1" applyAlignment="1">
      <alignment horizontal="center" vertical="center" wrapText="1"/>
    </xf>
    <xf numFmtId="0" fontId="13" fillId="0" borderId="0" xfId="0" applyFont="1" applyAlignment="1">
      <alignment horizontal="left" vertical="center" wrapText="1"/>
    </xf>
    <xf numFmtId="0" fontId="17" fillId="8" borderId="1" xfId="0" applyFont="1" applyFill="1" applyBorder="1" applyAlignment="1">
      <alignment horizontal="center" vertical="center"/>
    </xf>
    <xf numFmtId="0" fontId="17" fillId="8" borderId="5" xfId="0" applyFont="1" applyFill="1" applyBorder="1" applyAlignment="1">
      <alignment horizontal="center" vertical="center"/>
    </xf>
    <xf numFmtId="0" fontId="17" fillId="8" borderId="6" xfId="0" applyFont="1" applyFill="1" applyBorder="1" applyAlignment="1">
      <alignment horizontal="center" vertical="center"/>
    </xf>
  </cellXfs>
  <cellStyles count="4">
    <cellStyle name="Hyperlink" xfId="1" builtinId="8"/>
    <cellStyle name="Normal" xfId="0" builtinId="0"/>
    <cellStyle name="Normal_Sheet1" xfId="2"/>
    <cellStyle name="Percent" xfId="3" builtinId="5"/>
  </cellStyles>
  <dxfs count="43">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rgb="FFFF7C80"/>
        </patternFill>
      </fill>
    </dxf>
    <dxf>
      <font>
        <color auto="1"/>
      </font>
      <fill>
        <patternFill>
          <bgColor theme="9" tint="0.39994506668294322"/>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42"/>
      <tableStyleElement type="headerRow" dxfId="41"/>
      <tableStyleElement type="totalRow" dxfId="40"/>
      <tableStyleElement type="firstColumn" dxfId="39"/>
      <tableStyleElement type="lastColumn" dxfId="38"/>
      <tableStyleElement type="firstRowStripe" dxfId="37"/>
      <tableStyleElement type="firstColumnStripe" dxfId="36"/>
    </tableStyle>
    <tableStyle name="PivotStylePreset2_Accent1" table="0" count="10">
      <tableStyleElement type="headerRow" dxfId="35"/>
      <tableStyleElement type="totalRow" dxfId="34"/>
      <tableStyleElement type="firstRowStripe" dxfId="33"/>
      <tableStyleElement type="firstColumnStripe" dxfId="32"/>
      <tableStyleElement type="firstSubtotalRow" dxfId="31"/>
      <tableStyleElement type="secondSubtotalRow" dxfId="30"/>
      <tableStyleElement type="firstRowSubheading" dxfId="29"/>
      <tableStyleElement type="secondRowSubheading" dxfId="28"/>
      <tableStyleElement type="pageFieldLabels" dxfId="27"/>
      <tableStyleElement type="pageFieldValues" dxfId="26"/>
    </tableStyle>
  </tableStyles>
  <colors>
    <mruColors>
      <color rgb="FFFF7C80"/>
      <color rgb="FFFF848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
  <sheetViews>
    <sheetView zoomScale="130" zoomScaleNormal="130" workbookViewId="0">
      <selection activeCell="J12" sqref="J12"/>
    </sheetView>
  </sheetViews>
  <sheetFormatPr defaultColWidth="9" defaultRowHeight="14"/>
  <cols>
    <col min="1" max="1" width="10.26953125" style="58" customWidth="1"/>
    <col min="2" max="2" width="24" style="58" customWidth="1"/>
    <col min="3" max="3" width="19.90625" style="58" customWidth="1"/>
    <col min="4" max="4" width="18.453125" style="59" customWidth="1"/>
    <col min="5" max="5" width="17.81640625" style="58" customWidth="1"/>
    <col min="6" max="7" width="9" style="58"/>
    <col min="8" max="8" width="5.54296875" style="58" bestFit="1" customWidth="1"/>
    <col min="9" max="9" width="9.36328125" style="58" bestFit="1" customWidth="1"/>
    <col min="10" max="16384" width="9" style="58"/>
  </cols>
  <sheetData>
    <row r="1" spans="1:7" ht="22" customHeight="1">
      <c r="A1" s="28" t="s">
        <v>0</v>
      </c>
      <c r="B1" s="28" t="s">
        <v>1</v>
      </c>
      <c r="C1" s="28" t="s">
        <v>2</v>
      </c>
      <c r="D1" s="28" t="s">
        <v>3</v>
      </c>
      <c r="E1" s="28" t="s">
        <v>33</v>
      </c>
      <c r="F1" s="28" t="s">
        <v>50</v>
      </c>
      <c r="G1" s="28" t="s">
        <v>53</v>
      </c>
    </row>
    <row r="2" spans="1:7">
      <c r="A2" s="26">
        <v>1</v>
      </c>
      <c r="B2" s="27" t="s">
        <v>4</v>
      </c>
      <c r="C2" s="26">
        <v>8</v>
      </c>
      <c r="D2" s="26">
        <v>7</v>
      </c>
      <c r="E2" s="26">
        <v>1</v>
      </c>
      <c r="F2" s="60">
        <v>8</v>
      </c>
      <c r="G2" s="60">
        <v>0</v>
      </c>
    </row>
    <row r="3" spans="1:7">
      <c r="A3" s="26">
        <v>2</v>
      </c>
      <c r="B3" s="27" t="s">
        <v>5</v>
      </c>
      <c r="C3" s="26">
        <v>14</v>
      </c>
      <c r="D3" s="26">
        <v>12</v>
      </c>
      <c r="E3" s="26">
        <v>2</v>
      </c>
      <c r="F3" s="60">
        <v>14</v>
      </c>
      <c r="G3" s="60">
        <v>0</v>
      </c>
    </row>
    <row r="4" spans="1:7">
      <c r="A4" s="26">
        <v>3</v>
      </c>
      <c r="B4" s="27" t="s">
        <v>6</v>
      </c>
      <c r="C4" s="26">
        <v>11</v>
      </c>
      <c r="D4" s="26">
        <v>10</v>
      </c>
      <c r="E4" s="26">
        <v>2</v>
      </c>
      <c r="F4" s="60">
        <v>11</v>
      </c>
      <c r="G4" s="60">
        <v>0</v>
      </c>
    </row>
    <row r="5" spans="1:7">
      <c r="A5" s="26">
        <v>4</v>
      </c>
      <c r="B5" s="27" t="s">
        <v>7</v>
      </c>
      <c r="C5" s="26">
        <v>14</v>
      </c>
      <c r="D5" s="26">
        <v>10</v>
      </c>
      <c r="E5" s="26">
        <v>4</v>
      </c>
      <c r="F5" s="60">
        <v>14</v>
      </c>
      <c r="G5" s="60">
        <v>0</v>
      </c>
    </row>
    <row r="6" spans="1:7">
      <c r="A6" s="26">
        <v>5</v>
      </c>
      <c r="B6" s="27" t="s">
        <v>281</v>
      </c>
      <c r="C6" s="26">
        <v>9</v>
      </c>
      <c r="D6" s="26">
        <v>4</v>
      </c>
      <c r="E6" s="26">
        <v>5</v>
      </c>
      <c r="F6" s="60">
        <v>9</v>
      </c>
      <c r="G6" s="60">
        <v>0</v>
      </c>
    </row>
    <row r="7" spans="1:7">
      <c r="A7" s="26">
        <v>5</v>
      </c>
      <c r="B7" s="27" t="s">
        <v>221</v>
      </c>
      <c r="C7" s="26">
        <v>13</v>
      </c>
      <c r="D7" s="26">
        <v>6</v>
      </c>
      <c r="E7" s="26">
        <v>7</v>
      </c>
      <c r="F7" s="60">
        <v>13</v>
      </c>
      <c r="G7" s="60">
        <v>0</v>
      </c>
    </row>
    <row r="9" spans="1:7" s="59" customFormat="1" ht="27.5" customHeight="1">
      <c r="A9" s="100" t="s">
        <v>8</v>
      </c>
      <c r="B9" s="101"/>
      <c r="C9" s="28">
        <f>SUM(C2:C6)</f>
        <v>56</v>
      </c>
      <c r="D9" s="63">
        <f>SUM(D2:D6)</f>
        <v>43</v>
      </c>
      <c r="E9" s="65">
        <f>SUM(E2:E6)</f>
        <v>14</v>
      </c>
      <c r="F9" s="67">
        <f>SUM(F2:F6)</f>
        <v>56</v>
      </c>
      <c r="G9" s="69">
        <f>SUM(G2:G6)</f>
        <v>0</v>
      </c>
    </row>
    <row r="10" spans="1:7" ht="14.5" customHeight="1">
      <c r="A10" s="99" t="s">
        <v>61</v>
      </c>
      <c r="B10" s="99"/>
      <c r="C10" s="71">
        <f>C9/$C$9</f>
        <v>1</v>
      </c>
      <c r="D10" s="64">
        <f>D9/$C$9</f>
        <v>0.7678571428571429</v>
      </c>
      <c r="E10" s="66">
        <f>E9/$C$9</f>
        <v>0.25</v>
      </c>
      <c r="F10" s="68">
        <f>F9/$C$9</f>
        <v>1</v>
      </c>
      <c r="G10" s="70">
        <f>G9/$C$9</f>
        <v>0</v>
      </c>
    </row>
    <row r="11" spans="1:7">
      <c r="B11" s="59"/>
    </row>
    <row r="12" spans="1:7">
      <c r="B12" s="59"/>
    </row>
    <row r="19" spans="11:12">
      <c r="K19" s="59" t="s">
        <v>52</v>
      </c>
      <c r="L19" s="58" t="s">
        <v>55</v>
      </c>
    </row>
    <row r="20" spans="11:12">
      <c r="K20" s="59" t="s">
        <v>51</v>
      </c>
      <c r="L20" s="58" t="s">
        <v>56</v>
      </c>
    </row>
  </sheetData>
  <mergeCells count="2">
    <mergeCell ref="A10:B10"/>
    <mergeCell ref="A9:B9"/>
  </mergeCells>
  <phoneticPr fontId="12" type="noConversion"/>
  <pageMargins left="0.7" right="0.7" top="0.75" bottom="0.75" header="0.3" footer="0.3"/>
  <pageSetup orientation="portrait"/>
  <extLst>
    <ext xmlns:x14="http://schemas.microsoft.com/office/spreadsheetml/2009/9/main" uri="{78C0D931-6437-407d-A8EE-F0AAD7539E65}">
      <x14:conditionalFormattings>
        <x14:conditionalFormatting xmlns:xm="http://schemas.microsoft.com/office/excel/2006/main">
          <x14:cfRule type="containsText" priority="4" operator="containsText" id="{4D3815A5-E425-416B-BF06-D1C62615CAD5}">
            <xm:f>NOT(ISERROR(SEARCH($B$11,B11)))</xm:f>
            <xm:f>$B$11</xm:f>
            <x14:dxf>
              <font>
                <color auto="1"/>
              </font>
              <fill>
                <patternFill>
                  <bgColor theme="9" tint="0.39994506668294322"/>
                </patternFill>
              </fill>
            </x14:dxf>
          </x14:cfRule>
          <xm:sqref>B11:B12</xm:sqref>
        </x14:conditionalFormatting>
        <x14:conditionalFormatting xmlns:xm="http://schemas.microsoft.com/office/excel/2006/main">
          <x14:cfRule type="containsText" priority="3" operator="containsText" id="{E31D92C5-71C6-45B1-845A-3E71CDBFAE44}">
            <xm:f>NOT(ISERROR(SEARCH($B$12,B12)))</xm:f>
            <xm:f>$B$12</xm:f>
            <x14:dxf>
              <fill>
                <patternFill>
                  <bgColor rgb="FFFF7C80"/>
                </patternFill>
              </fill>
            </x14:dxf>
          </x14:cfRule>
          <xm:sqref>B12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K38"/>
  <sheetViews>
    <sheetView zoomScale="55" zoomScaleNormal="55" workbookViewId="0">
      <selection activeCell="B11" sqref="B11"/>
    </sheetView>
  </sheetViews>
  <sheetFormatPr defaultColWidth="8.90625" defaultRowHeight="16.5"/>
  <cols>
    <col min="1" max="1" width="17.36328125" style="42" customWidth="1"/>
    <col min="2" max="2" width="23.54296875" style="44" customWidth="1"/>
    <col min="3" max="3" width="38.90625" style="44" customWidth="1"/>
    <col min="4" max="4" width="24.54296875" style="44" customWidth="1"/>
    <col min="5" max="5" width="41.1796875" style="44" customWidth="1"/>
    <col min="6" max="6" width="30.90625" style="44" customWidth="1"/>
    <col min="7" max="7" width="31.6328125" style="44" customWidth="1"/>
    <col min="8" max="8" width="11.453125" style="45" customWidth="1"/>
    <col min="9" max="9" width="9.6328125" style="42" customWidth="1"/>
    <col min="10" max="16384" width="8.90625" style="44"/>
  </cols>
  <sheetData>
    <row r="1" spans="1:11" s="34" customFormat="1" ht="46" customHeight="1">
      <c r="A1" s="30" t="s">
        <v>9</v>
      </c>
      <c r="B1" s="30" t="s">
        <v>10</v>
      </c>
      <c r="C1" s="30"/>
      <c r="D1" s="31" t="e">
        <f>"Pass: "&amp;COUNTIF(#REF!,"Pass")</f>
        <v>#REF!</v>
      </c>
      <c r="E1" s="32" t="e">
        <f>"Untested: "&amp;COUNTIF(#REF!,"Untest")</f>
        <v>#REF!</v>
      </c>
      <c r="F1" s="33"/>
      <c r="I1" s="56"/>
    </row>
    <row r="2" spans="1:11" s="34" customFormat="1" ht="28" customHeight="1">
      <c r="A2" s="35" t="s">
        <v>11</v>
      </c>
      <c r="B2" s="36" t="s">
        <v>12</v>
      </c>
      <c r="C2" s="36"/>
      <c r="D2" s="31" t="e">
        <f>"Fail: "&amp;COUNTIF(#REF!,"Fail")</f>
        <v>#REF!</v>
      </c>
      <c r="E2" s="32" t="e">
        <f>"N/A: "&amp;COUNTIF(#REF!,"N/A")</f>
        <v>#REF!</v>
      </c>
      <c r="F2" s="33"/>
      <c r="I2" s="56"/>
    </row>
    <row r="3" spans="1:11" s="34" customFormat="1" ht="28" customHeight="1">
      <c r="A3" s="35" t="s">
        <v>13</v>
      </c>
      <c r="B3" s="35" t="s">
        <v>29</v>
      </c>
      <c r="C3" s="35"/>
      <c r="D3" s="31" t="e">
        <f>"Percent Complete: "&amp;ROUND((COUNTIF(#REF!,"Pass")*100)/((COUNTA($A$5:$A$957)*5)-COUNTIF(#REF!,"N/A")),2)&amp;"%"</f>
        <v>#REF!</v>
      </c>
      <c r="E3" s="37" t="str">
        <f>"Number of cases: "&amp;(COUNTA($A$5:$A$957))</f>
        <v>Number of cases: 8</v>
      </c>
      <c r="F3" s="38"/>
      <c r="I3" s="56"/>
    </row>
    <row r="4" spans="1:11" s="42" customFormat="1" ht="42" customHeight="1">
      <c r="A4" s="51" t="s">
        <v>14</v>
      </c>
      <c r="B4" s="39" t="s">
        <v>15</v>
      </c>
      <c r="C4" s="39" t="s">
        <v>16</v>
      </c>
      <c r="D4" s="39" t="s">
        <v>17</v>
      </c>
      <c r="E4" s="40" t="s">
        <v>18</v>
      </c>
      <c r="F4" s="39" t="s">
        <v>19</v>
      </c>
      <c r="G4" s="39" t="s">
        <v>20</v>
      </c>
      <c r="H4" s="41" t="s">
        <v>21</v>
      </c>
      <c r="I4" s="52" t="s">
        <v>22</v>
      </c>
    </row>
    <row r="5" spans="1:11" ht="88.5" customHeight="1">
      <c r="A5" s="48" t="s">
        <v>62</v>
      </c>
      <c r="B5" s="48" t="s">
        <v>23</v>
      </c>
      <c r="C5" s="50" t="s">
        <v>24</v>
      </c>
      <c r="D5" s="50" t="s">
        <v>25</v>
      </c>
      <c r="E5" s="43" t="s">
        <v>171</v>
      </c>
      <c r="F5" s="43" t="s">
        <v>89</v>
      </c>
      <c r="G5" s="43" t="s">
        <v>89</v>
      </c>
      <c r="H5" s="48" t="s">
        <v>52</v>
      </c>
      <c r="I5" s="48" t="s">
        <v>55</v>
      </c>
    </row>
    <row r="6" spans="1:11" ht="95" customHeight="1">
      <c r="A6" s="48" t="s">
        <v>63</v>
      </c>
      <c r="B6" s="48" t="s">
        <v>49</v>
      </c>
      <c r="C6" s="50" t="s">
        <v>24</v>
      </c>
      <c r="D6" s="50" t="s">
        <v>25</v>
      </c>
      <c r="E6" s="43" t="s">
        <v>172</v>
      </c>
      <c r="F6" s="43" t="s">
        <v>89</v>
      </c>
      <c r="G6" s="43" t="s">
        <v>89</v>
      </c>
      <c r="H6" s="48" t="s">
        <v>52</v>
      </c>
      <c r="I6" s="48" t="s">
        <v>55</v>
      </c>
    </row>
    <row r="7" spans="1:11" ht="95" customHeight="1">
      <c r="A7" s="48" t="s">
        <v>64</v>
      </c>
      <c r="B7" s="48" t="s">
        <v>23</v>
      </c>
      <c r="C7" s="50" t="s">
        <v>24</v>
      </c>
      <c r="D7" s="50" t="s">
        <v>25</v>
      </c>
      <c r="E7" s="43" t="s">
        <v>173</v>
      </c>
      <c r="F7" s="43" t="s">
        <v>89</v>
      </c>
      <c r="G7" s="43" t="s">
        <v>89</v>
      </c>
      <c r="H7" s="48" t="s">
        <v>52</v>
      </c>
      <c r="I7" s="48" t="s">
        <v>55</v>
      </c>
    </row>
    <row r="8" spans="1:11" ht="80" customHeight="1">
      <c r="A8" s="48" t="s">
        <v>65</v>
      </c>
      <c r="B8" s="48" t="s">
        <v>174</v>
      </c>
      <c r="C8" s="50" t="s">
        <v>175</v>
      </c>
      <c r="D8" s="50" t="s">
        <v>34</v>
      </c>
      <c r="E8" s="43" t="s">
        <v>176</v>
      </c>
      <c r="F8" s="43" t="s">
        <v>177</v>
      </c>
      <c r="G8" s="43" t="s">
        <v>177</v>
      </c>
      <c r="H8" s="48" t="s">
        <v>52</v>
      </c>
      <c r="I8" s="48" t="s">
        <v>55</v>
      </c>
    </row>
    <row r="9" spans="1:11" s="46" customFormat="1" ht="87.5" customHeight="1">
      <c r="A9" s="48" t="s">
        <v>66</v>
      </c>
      <c r="B9" s="48" t="s">
        <v>166</v>
      </c>
      <c r="C9" s="50" t="s">
        <v>167</v>
      </c>
      <c r="D9" s="50" t="s">
        <v>34</v>
      </c>
      <c r="E9" s="43" t="s">
        <v>178</v>
      </c>
      <c r="F9" s="43" t="s">
        <v>168</v>
      </c>
      <c r="G9" s="43" t="s">
        <v>90</v>
      </c>
      <c r="H9" s="48" t="s">
        <v>51</v>
      </c>
      <c r="I9" s="48" t="s">
        <v>55</v>
      </c>
    </row>
    <row r="10" spans="1:11" s="46" customFormat="1" ht="82.5">
      <c r="A10" s="48" t="s">
        <v>67</v>
      </c>
      <c r="B10" s="48" t="s">
        <v>179</v>
      </c>
      <c r="C10" s="50" t="s">
        <v>169</v>
      </c>
      <c r="D10" s="50" t="s">
        <v>34</v>
      </c>
      <c r="E10" s="43" t="s">
        <v>171</v>
      </c>
      <c r="F10" s="43" t="s">
        <v>177</v>
      </c>
      <c r="G10" s="43" t="s">
        <v>177</v>
      </c>
      <c r="H10" s="48" t="s">
        <v>52</v>
      </c>
      <c r="I10" s="48" t="s">
        <v>55</v>
      </c>
    </row>
    <row r="11" spans="1:11" s="46" customFormat="1" ht="82.5">
      <c r="A11" s="48" t="s">
        <v>68</v>
      </c>
      <c r="B11" s="48" t="s">
        <v>180</v>
      </c>
      <c r="C11" s="25" t="s">
        <v>35</v>
      </c>
      <c r="D11" s="50" t="s">
        <v>34</v>
      </c>
      <c r="E11" s="43" t="s">
        <v>181</v>
      </c>
      <c r="F11" s="43" t="s">
        <v>91</v>
      </c>
      <c r="G11" s="43" t="s">
        <v>91</v>
      </c>
      <c r="H11" s="48" t="s">
        <v>52</v>
      </c>
      <c r="I11" s="48" t="s">
        <v>55</v>
      </c>
    </row>
    <row r="12" spans="1:11" s="46" customFormat="1" ht="82.5">
      <c r="A12" s="48" t="s">
        <v>69</v>
      </c>
      <c r="B12" s="48" t="s">
        <v>170</v>
      </c>
      <c r="C12" s="25" t="s">
        <v>35</v>
      </c>
      <c r="D12" s="50" t="s">
        <v>34</v>
      </c>
      <c r="E12" s="43" t="s">
        <v>182</v>
      </c>
      <c r="F12" s="43" t="s">
        <v>91</v>
      </c>
      <c r="G12" s="43" t="s">
        <v>91</v>
      </c>
      <c r="H12" s="48" t="s">
        <v>52</v>
      </c>
      <c r="I12" s="48" t="s">
        <v>55</v>
      </c>
    </row>
    <row r="13" spans="1:11" s="46" customFormat="1">
      <c r="A13" s="73"/>
      <c r="B13" s="74"/>
      <c r="C13" s="83"/>
      <c r="D13" s="84"/>
      <c r="E13" s="85"/>
      <c r="F13" s="86"/>
      <c r="G13" s="86"/>
      <c r="H13" s="74"/>
      <c r="I13" s="74"/>
      <c r="J13" s="82"/>
      <c r="K13" s="82"/>
    </row>
    <row r="14" spans="1:11" s="46" customFormat="1">
      <c r="A14" s="75"/>
      <c r="B14" s="75"/>
      <c r="C14" s="77"/>
      <c r="D14" s="78"/>
      <c r="E14" s="79"/>
      <c r="F14" s="80"/>
      <c r="G14" s="80"/>
      <c r="H14" s="75"/>
      <c r="I14" s="75"/>
      <c r="J14" s="82"/>
      <c r="K14" s="82"/>
    </row>
    <row r="15" spans="1:11" s="46" customFormat="1">
      <c r="A15" s="75"/>
      <c r="B15" s="75"/>
      <c r="C15" s="77"/>
      <c r="D15" s="78"/>
      <c r="E15" s="79"/>
      <c r="F15" s="80"/>
      <c r="G15" s="80"/>
      <c r="H15" s="75"/>
      <c r="I15" s="75"/>
      <c r="J15" s="82"/>
      <c r="K15" s="82"/>
    </row>
    <row r="16" spans="1:11" s="46" customFormat="1">
      <c r="A16" s="75"/>
      <c r="B16" s="75"/>
      <c r="C16" s="77"/>
      <c r="D16" s="78"/>
      <c r="E16" s="79"/>
      <c r="F16" s="80"/>
      <c r="G16" s="80"/>
      <c r="H16" s="75"/>
      <c r="I16" s="75"/>
      <c r="J16" s="82"/>
      <c r="K16" s="82"/>
    </row>
    <row r="17" spans="1:9" s="46" customFormat="1">
      <c r="A17" s="75"/>
      <c r="B17" s="75"/>
      <c r="C17" s="77"/>
      <c r="D17" s="78"/>
      <c r="E17" s="79"/>
      <c r="F17" s="80"/>
      <c r="G17" s="80"/>
      <c r="H17" s="75"/>
      <c r="I17" s="75"/>
    </row>
    <row r="18" spans="1:9" s="46" customFormat="1">
      <c r="A18" s="75"/>
      <c r="B18" s="75"/>
      <c r="C18" s="77"/>
      <c r="D18" s="78"/>
      <c r="E18" s="79"/>
      <c r="F18" s="80"/>
      <c r="G18" s="80"/>
      <c r="H18" s="75"/>
      <c r="I18" s="75"/>
    </row>
    <row r="19" spans="1:9" ht="16.5" customHeight="1">
      <c r="A19" s="75"/>
      <c r="B19" s="81"/>
      <c r="C19" s="77"/>
      <c r="D19" s="77"/>
      <c r="E19" s="79"/>
      <c r="F19" s="79"/>
      <c r="G19" s="79"/>
      <c r="H19" s="75"/>
      <c r="I19" s="75"/>
    </row>
    <row r="20" spans="1:9">
      <c r="A20" s="49"/>
      <c r="B20" s="53"/>
      <c r="C20" s="53"/>
      <c r="D20" s="53"/>
      <c r="E20" s="53"/>
      <c r="F20" s="53"/>
      <c r="G20" s="53"/>
      <c r="I20" s="49"/>
    </row>
    <row r="21" spans="1:9">
      <c r="A21" s="49"/>
      <c r="B21" s="53"/>
      <c r="C21" s="53"/>
      <c r="D21" s="53"/>
      <c r="E21" s="53"/>
      <c r="F21" s="53"/>
      <c r="G21" s="53"/>
      <c r="I21" s="49"/>
    </row>
    <row r="22" spans="1:9">
      <c r="A22" s="49"/>
      <c r="B22" s="53"/>
      <c r="C22" s="53"/>
      <c r="D22" s="53"/>
      <c r="E22" s="53"/>
      <c r="F22" s="53"/>
      <c r="G22" s="53"/>
      <c r="I22" s="49"/>
    </row>
    <row r="23" spans="1:9">
      <c r="A23" s="49"/>
      <c r="B23" s="53"/>
      <c r="C23" s="53"/>
      <c r="D23" s="53"/>
      <c r="E23" s="53"/>
      <c r="F23" s="53"/>
      <c r="G23" s="53"/>
      <c r="I23" s="49"/>
    </row>
    <row r="24" spans="1:9">
      <c r="A24" s="49"/>
      <c r="B24" s="53"/>
      <c r="C24" s="53"/>
      <c r="D24" s="53"/>
      <c r="E24" s="53"/>
      <c r="F24" s="53"/>
      <c r="G24" s="53"/>
      <c r="I24" s="49"/>
    </row>
    <row r="25" spans="1:9">
      <c r="A25" s="49"/>
      <c r="B25" s="53"/>
      <c r="C25" s="53"/>
      <c r="D25" s="53"/>
      <c r="E25" s="53"/>
      <c r="F25" s="53"/>
      <c r="G25" s="53"/>
      <c r="I25" s="49"/>
    </row>
    <row r="26" spans="1:9">
      <c r="A26" s="49"/>
      <c r="B26" s="53"/>
      <c r="C26" s="53"/>
      <c r="D26" s="53"/>
      <c r="E26" s="53"/>
      <c r="F26" s="53"/>
      <c r="G26" s="53"/>
      <c r="I26" s="49"/>
    </row>
    <row r="27" spans="1:9">
      <c r="A27" s="49"/>
      <c r="B27" s="53"/>
      <c r="C27" s="53"/>
      <c r="D27" s="53"/>
      <c r="E27" s="53"/>
      <c r="F27" s="53"/>
      <c r="G27" s="53"/>
      <c r="I27" s="49"/>
    </row>
    <row r="28" spans="1:9">
      <c r="A28" s="49"/>
      <c r="B28" s="53"/>
      <c r="C28" s="53"/>
      <c r="D28" s="53"/>
      <c r="E28" s="53"/>
      <c r="F28" s="53"/>
      <c r="G28" s="53"/>
      <c r="I28" s="49"/>
    </row>
    <row r="29" spans="1:9">
      <c r="A29" s="47"/>
      <c r="B29" s="46"/>
      <c r="C29" s="46"/>
      <c r="D29" s="46"/>
      <c r="E29" s="46"/>
      <c r="F29" s="46"/>
      <c r="G29" s="46"/>
      <c r="I29" s="47"/>
    </row>
    <row r="30" spans="1:9">
      <c r="A30" s="47"/>
      <c r="B30" s="46"/>
      <c r="C30" s="46"/>
      <c r="D30" s="46"/>
      <c r="E30" s="46"/>
      <c r="F30" s="46"/>
      <c r="G30" s="46"/>
      <c r="I30" s="47"/>
    </row>
    <row r="31" spans="1:9">
      <c r="A31" s="47"/>
      <c r="B31" s="46"/>
      <c r="C31" s="46"/>
      <c r="D31" s="46"/>
      <c r="E31" s="46"/>
      <c r="F31" s="46"/>
      <c r="G31" s="46"/>
      <c r="I31" s="47"/>
    </row>
    <row r="32" spans="1:9">
      <c r="A32" s="47"/>
      <c r="B32" s="46"/>
      <c r="C32" s="46"/>
      <c r="D32" s="46"/>
      <c r="E32" s="46"/>
      <c r="F32" s="46"/>
      <c r="G32" s="46"/>
      <c r="I32" s="47"/>
    </row>
    <row r="33" spans="1:9">
      <c r="A33" s="47"/>
      <c r="B33" s="46"/>
      <c r="C33" s="46"/>
      <c r="D33" s="46"/>
      <c r="E33" s="46"/>
      <c r="F33" s="46"/>
      <c r="G33" s="46"/>
      <c r="I33" s="47"/>
    </row>
    <row r="34" spans="1:9">
      <c r="A34" s="47"/>
      <c r="B34" s="46"/>
      <c r="C34" s="46"/>
      <c r="D34" s="46"/>
      <c r="E34" s="46"/>
      <c r="F34" s="46"/>
      <c r="G34" s="46"/>
      <c r="I34" s="47"/>
    </row>
    <row r="35" spans="1:9">
      <c r="A35" s="47"/>
      <c r="B35" s="46"/>
      <c r="C35" s="46"/>
      <c r="D35" s="46"/>
      <c r="E35" s="46"/>
      <c r="F35" s="46"/>
      <c r="G35" s="46"/>
      <c r="I35" s="47"/>
    </row>
    <row r="36" spans="1:9">
      <c r="A36" s="47"/>
      <c r="B36" s="46"/>
      <c r="C36" s="46"/>
      <c r="D36" s="46"/>
      <c r="E36" s="46"/>
      <c r="F36" s="46"/>
      <c r="G36" s="46"/>
      <c r="I36" s="47"/>
    </row>
    <row r="37" spans="1:9">
      <c r="A37" s="47"/>
      <c r="B37" s="46"/>
      <c r="C37" s="46"/>
      <c r="D37" s="46"/>
      <c r="E37" s="46"/>
      <c r="F37" s="46"/>
      <c r="G37" s="46"/>
      <c r="I37" s="47"/>
    </row>
    <row r="38" spans="1:9">
      <c r="A38" s="47"/>
      <c r="B38" s="46"/>
      <c r="C38" s="46"/>
      <c r="D38" s="46"/>
      <c r="E38" s="46"/>
      <c r="F38" s="46"/>
      <c r="G38" s="46"/>
      <c r="I38" s="47"/>
    </row>
  </sheetData>
  <phoneticPr fontId="15" type="noConversion"/>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6" operator="containsText" id="{EA0FB0CC-DEE3-4298-A7DB-71C631DE29FC}">
            <xm:f>NOT(ISERROR(SEARCH(Chung!$K$20,H5)))</xm:f>
            <xm:f>Chung!$K$20</xm:f>
            <x14:dxf>
              <fill>
                <patternFill>
                  <bgColor rgb="FFFF7C80"/>
                </patternFill>
              </fill>
            </x14:dxf>
          </x14:cfRule>
          <x14:cfRule type="containsText" priority="7" operator="containsText" id="{2F8D11B2-60B9-4149-AA64-429B14713A96}">
            <xm:f>NOT(ISERROR(SEARCH(Chung!$K$19,H5)))</xm:f>
            <xm:f>Chung!$K$19</xm:f>
            <x14:dxf>
              <fill>
                <patternFill>
                  <bgColor theme="9" tint="0.39994506668294322"/>
                </patternFill>
              </fill>
            </x14:dxf>
          </x14:cfRule>
          <xm:sqref>H5:H19</xm:sqref>
        </x14:conditionalFormatting>
        <x14:conditionalFormatting xmlns:xm="http://schemas.microsoft.com/office/excel/2006/main">
          <x14:cfRule type="containsText" priority="8" operator="containsText" id="{17EE5443-D867-4E0A-B44E-A6955851D2A4}">
            <xm:f>NOT(ISERROR(SEARCH(Chung!$L$20,I5)))</xm:f>
            <xm:f>Chung!$L$20</xm:f>
            <x14:dxf>
              <fill>
                <patternFill>
                  <bgColor theme="2" tint="-9.9948118533890809E-2"/>
                </patternFill>
              </fill>
            </x14:dxf>
          </x14:cfRule>
          <x14:cfRule type="containsText" priority="9" operator="containsText" id="{178B32A1-4D0F-4593-B37C-3EA88C1C1547}">
            <xm:f>NOT(ISERROR(SEARCH(Chung!$L$19,I5)))</xm:f>
            <xm:f>Chung!$L$19</xm:f>
            <x14:dxf>
              <fill>
                <patternFill>
                  <bgColor theme="7" tint="0.59996337778862885"/>
                </patternFill>
              </fill>
            </x14:dxf>
          </x14:cfRule>
          <xm:sqref>I5:I19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Chung!$K$19:$K$20</xm:f>
          </x14:formula1>
          <xm:sqref>H5:H19</xm:sqref>
        </x14:dataValidation>
        <x14:dataValidation type="list" allowBlank="1" showInputMessage="1" showErrorMessage="1">
          <x14:formula1>
            <xm:f>Chung!$L$19:$L$20</xm:f>
          </x14:formula1>
          <xm:sqref>I5:I19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18"/>
  <sheetViews>
    <sheetView zoomScale="55" zoomScaleNormal="55" workbookViewId="0">
      <selection activeCell="L8" sqref="L8"/>
    </sheetView>
  </sheetViews>
  <sheetFormatPr defaultColWidth="8.90625" defaultRowHeight="16.5"/>
  <cols>
    <col min="1" max="1" width="13.453125" customWidth="1"/>
    <col min="2" max="2" width="31" customWidth="1"/>
    <col min="3" max="3" width="37.36328125" customWidth="1"/>
    <col min="4" max="4" width="23.7265625" bestFit="1" customWidth="1"/>
    <col min="5" max="5" width="38.26953125" customWidth="1"/>
    <col min="6" max="6" width="26.08984375" customWidth="1"/>
    <col min="7" max="7" width="26.1796875" customWidth="1"/>
    <col min="8" max="8" width="8.90625" style="13"/>
    <col min="9" max="9" width="8.90625" style="12"/>
  </cols>
  <sheetData>
    <row r="1" spans="1:9" s="1" customFormat="1" ht="46" customHeight="1">
      <c r="A1" s="2" t="s">
        <v>9</v>
      </c>
      <c r="B1" s="2" t="s">
        <v>10</v>
      </c>
      <c r="C1" s="2"/>
      <c r="D1" s="3" t="e">
        <f>"Pass: "&amp;COUNTIF(#REF!,"Pass")</f>
        <v>#REF!</v>
      </c>
      <c r="E1" s="4" t="e">
        <f>"Untested: "&amp;COUNTIF(#REF!,"Untest")</f>
        <v>#REF!</v>
      </c>
      <c r="F1" s="5"/>
      <c r="I1" s="17"/>
    </row>
    <row r="2" spans="1:9" s="1" customFormat="1" ht="42.5" customHeight="1">
      <c r="A2" s="6" t="s">
        <v>11</v>
      </c>
      <c r="B2" s="7" t="s">
        <v>12</v>
      </c>
      <c r="C2" s="7"/>
      <c r="D2" s="3" t="e">
        <f>"Fail: "&amp;COUNTIF(#REF!,"Fail")</f>
        <v>#REF!</v>
      </c>
      <c r="E2" s="4" t="e">
        <f>"N/A: "&amp;COUNTIF(#REF!,"N/A")</f>
        <v>#REF!</v>
      </c>
      <c r="F2" s="5"/>
      <c r="I2" s="17"/>
    </row>
    <row r="3" spans="1:9" s="1" customFormat="1" ht="28" customHeight="1">
      <c r="A3" s="6" t="s">
        <v>13</v>
      </c>
      <c r="B3" s="22" t="s">
        <v>29</v>
      </c>
      <c r="C3" s="6"/>
      <c r="D3" s="3" t="e">
        <f>"Percent Complete: "&amp;ROUND((COUNTIF(#REF!,"Pass")*100)/((COUNTA($A$5:$A$950)*5)-COUNTIF(#REF!,"N/A")),2)&amp;"%"</f>
        <v>#REF!</v>
      </c>
      <c r="E3" s="8" t="str">
        <f>"Number of cases: "&amp;(COUNTA($A$5:$A$950))</f>
        <v>Number of cases: 14</v>
      </c>
      <c r="F3" s="9"/>
      <c r="I3" s="17"/>
    </row>
    <row r="4" spans="1:9" ht="37" customHeight="1">
      <c r="A4" s="87" t="s">
        <v>14</v>
      </c>
      <c r="B4" s="11" t="s">
        <v>15</v>
      </c>
      <c r="C4" s="11" t="s">
        <v>16</v>
      </c>
      <c r="D4" s="11" t="s">
        <v>17</v>
      </c>
      <c r="E4" s="11" t="s">
        <v>18</v>
      </c>
      <c r="F4" s="11" t="s">
        <v>19</v>
      </c>
      <c r="G4" s="11" t="s">
        <v>20</v>
      </c>
      <c r="H4" s="11" t="s">
        <v>21</v>
      </c>
      <c r="I4" s="88" t="s">
        <v>22</v>
      </c>
    </row>
    <row r="5" spans="1:9" s="24" customFormat="1" ht="165">
      <c r="A5" s="20" t="s">
        <v>70</v>
      </c>
      <c r="B5" s="19" t="s">
        <v>37</v>
      </c>
      <c r="C5" s="19" t="s">
        <v>36</v>
      </c>
      <c r="D5" s="19" t="s">
        <v>38</v>
      </c>
      <c r="E5" s="19" t="s">
        <v>220</v>
      </c>
      <c r="F5" s="19" t="s">
        <v>54</v>
      </c>
      <c r="G5" s="19" t="s">
        <v>54</v>
      </c>
      <c r="H5" s="48" t="s">
        <v>52</v>
      </c>
      <c r="I5" s="48" t="s">
        <v>55</v>
      </c>
    </row>
    <row r="6" spans="1:9" s="24" customFormat="1" ht="148.5">
      <c r="A6" s="20" t="s">
        <v>71</v>
      </c>
      <c r="B6" s="19" t="s">
        <v>93</v>
      </c>
      <c r="C6" s="19" t="s">
        <v>92</v>
      </c>
      <c r="D6" s="19" t="s">
        <v>38</v>
      </c>
      <c r="E6" s="19" t="s">
        <v>150</v>
      </c>
      <c r="F6" s="19" t="s">
        <v>107</v>
      </c>
      <c r="G6" s="19" t="s">
        <v>107</v>
      </c>
      <c r="H6" s="48" t="s">
        <v>52</v>
      </c>
      <c r="I6" s="48" t="s">
        <v>55</v>
      </c>
    </row>
    <row r="7" spans="1:9" s="24" customFormat="1" ht="148.5">
      <c r="A7" s="20" t="s">
        <v>72</v>
      </c>
      <c r="B7" s="19" t="s">
        <v>139</v>
      </c>
      <c r="C7" s="19" t="s">
        <v>140</v>
      </c>
      <c r="D7" s="19" t="s">
        <v>38</v>
      </c>
      <c r="E7" s="19" t="s">
        <v>151</v>
      </c>
      <c r="F7" s="19" t="s">
        <v>141</v>
      </c>
      <c r="G7" s="19" t="s">
        <v>141</v>
      </c>
      <c r="H7" s="48" t="s">
        <v>52</v>
      </c>
      <c r="I7" s="48" t="s">
        <v>55</v>
      </c>
    </row>
    <row r="8" spans="1:9" s="24" customFormat="1" ht="132">
      <c r="A8" s="20" t="s">
        <v>73</v>
      </c>
      <c r="B8" s="19" t="s">
        <v>144</v>
      </c>
      <c r="C8" s="19" t="s">
        <v>145</v>
      </c>
      <c r="D8" s="19" t="s">
        <v>38</v>
      </c>
      <c r="E8" s="19" t="s">
        <v>152</v>
      </c>
      <c r="F8" s="19" t="s">
        <v>146</v>
      </c>
      <c r="G8" s="19" t="s">
        <v>112</v>
      </c>
      <c r="H8" s="48" t="s">
        <v>51</v>
      </c>
      <c r="I8" s="48" t="s">
        <v>55</v>
      </c>
    </row>
    <row r="9" spans="1:9" s="24" customFormat="1" ht="148.5">
      <c r="A9" s="20" t="s">
        <v>74</v>
      </c>
      <c r="B9" s="19" t="s">
        <v>153</v>
      </c>
      <c r="C9" s="19" t="s">
        <v>154</v>
      </c>
      <c r="D9" s="19" t="s">
        <v>38</v>
      </c>
      <c r="E9" s="19" t="s">
        <v>155</v>
      </c>
      <c r="F9" s="19" t="s">
        <v>156</v>
      </c>
      <c r="G9" s="19" t="s">
        <v>112</v>
      </c>
      <c r="H9" s="48" t="s">
        <v>51</v>
      </c>
      <c r="I9" s="48" t="s">
        <v>55</v>
      </c>
    </row>
    <row r="10" spans="1:9" s="24" customFormat="1" ht="165">
      <c r="A10" s="20" t="s">
        <v>75</v>
      </c>
      <c r="B10" s="19" t="s">
        <v>94</v>
      </c>
      <c r="C10" s="54" t="s">
        <v>105</v>
      </c>
      <c r="D10" s="19" t="s">
        <v>38</v>
      </c>
      <c r="E10" s="19" t="s">
        <v>157</v>
      </c>
      <c r="F10" s="19" t="s">
        <v>108</v>
      </c>
      <c r="G10" s="19" t="s">
        <v>108</v>
      </c>
      <c r="H10" s="48" t="s">
        <v>52</v>
      </c>
      <c r="I10" s="48" t="s">
        <v>55</v>
      </c>
    </row>
    <row r="11" spans="1:9" s="24" customFormat="1" ht="165">
      <c r="A11" s="20" t="s">
        <v>76</v>
      </c>
      <c r="B11" s="19" t="s">
        <v>95</v>
      </c>
      <c r="C11" s="54" t="s">
        <v>105</v>
      </c>
      <c r="D11" s="19" t="s">
        <v>38</v>
      </c>
      <c r="E11" s="19" t="s">
        <v>158</v>
      </c>
      <c r="F11" s="19" t="s">
        <v>108</v>
      </c>
      <c r="G11" s="19" t="s">
        <v>108</v>
      </c>
      <c r="H11" s="48" t="s">
        <v>52</v>
      </c>
      <c r="I11" s="48" t="s">
        <v>55</v>
      </c>
    </row>
    <row r="12" spans="1:9" s="24" customFormat="1" ht="181.5">
      <c r="A12" s="20" t="s">
        <v>77</v>
      </c>
      <c r="B12" s="19" t="s">
        <v>96</v>
      </c>
      <c r="C12" s="54" t="s">
        <v>105</v>
      </c>
      <c r="D12" s="19" t="s">
        <v>38</v>
      </c>
      <c r="E12" s="19" t="s">
        <v>159</v>
      </c>
      <c r="F12" s="19" t="s">
        <v>108</v>
      </c>
      <c r="G12" s="19" t="s">
        <v>108</v>
      </c>
      <c r="H12" s="48" t="s">
        <v>52</v>
      </c>
      <c r="I12" s="48" t="s">
        <v>55</v>
      </c>
    </row>
    <row r="13" spans="1:9" s="24" customFormat="1" ht="165">
      <c r="A13" s="20" t="s">
        <v>78</v>
      </c>
      <c r="B13" s="19" t="s">
        <v>104</v>
      </c>
      <c r="C13" s="54" t="s">
        <v>105</v>
      </c>
      <c r="D13" s="19" t="s">
        <v>38</v>
      </c>
      <c r="E13" s="19" t="s">
        <v>160</v>
      </c>
      <c r="F13" s="19" t="s">
        <v>108</v>
      </c>
      <c r="G13" s="19" t="s">
        <v>108</v>
      </c>
      <c r="H13" s="48" t="s">
        <v>52</v>
      </c>
      <c r="I13" s="48" t="s">
        <v>55</v>
      </c>
    </row>
    <row r="14" spans="1:9" s="24" customFormat="1" ht="165">
      <c r="A14" s="20" t="s">
        <v>79</v>
      </c>
      <c r="B14" s="19" t="s">
        <v>97</v>
      </c>
      <c r="C14" s="54" t="s">
        <v>105</v>
      </c>
      <c r="D14" s="19" t="s">
        <v>38</v>
      </c>
      <c r="E14" s="19" t="s">
        <v>161</v>
      </c>
      <c r="F14" s="19" t="s">
        <v>108</v>
      </c>
      <c r="G14" s="19" t="s">
        <v>108</v>
      </c>
      <c r="H14" s="48" t="s">
        <v>52</v>
      </c>
      <c r="I14" s="48" t="s">
        <v>55</v>
      </c>
    </row>
    <row r="15" spans="1:9" s="24" customFormat="1" ht="165">
      <c r="A15" s="20" t="s">
        <v>100</v>
      </c>
      <c r="B15" s="19" t="s">
        <v>98</v>
      </c>
      <c r="C15" s="19" t="s">
        <v>147</v>
      </c>
      <c r="D15" s="19" t="s">
        <v>38</v>
      </c>
      <c r="E15" s="19" t="s">
        <v>162</v>
      </c>
      <c r="F15" s="19" t="s">
        <v>109</v>
      </c>
      <c r="G15" s="19" t="s">
        <v>109</v>
      </c>
      <c r="H15" s="48" t="s">
        <v>52</v>
      </c>
      <c r="I15" s="48" t="s">
        <v>55</v>
      </c>
    </row>
    <row r="16" spans="1:9" ht="165">
      <c r="A16" s="20" t="s">
        <v>101</v>
      </c>
      <c r="B16" s="19" t="s">
        <v>99</v>
      </c>
      <c r="C16" s="19" t="s">
        <v>147</v>
      </c>
      <c r="D16" s="19" t="s">
        <v>38</v>
      </c>
      <c r="E16" s="19" t="s">
        <v>163</v>
      </c>
      <c r="F16" s="19" t="s">
        <v>109</v>
      </c>
      <c r="G16" s="19" t="s">
        <v>109</v>
      </c>
      <c r="H16" s="48" t="s">
        <v>52</v>
      </c>
      <c r="I16" s="48" t="s">
        <v>55</v>
      </c>
    </row>
    <row r="17" spans="1:9" ht="148.5">
      <c r="A17" s="20" t="s">
        <v>102</v>
      </c>
      <c r="B17" s="19" t="s">
        <v>148</v>
      </c>
      <c r="C17" s="19" t="s">
        <v>164</v>
      </c>
      <c r="D17" s="19" t="s">
        <v>38</v>
      </c>
      <c r="E17" s="19" t="s">
        <v>165</v>
      </c>
      <c r="F17" s="19" t="s">
        <v>110</v>
      </c>
      <c r="G17" s="19" t="s">
        <v>110</v>
      </c>
      <c r="H17" s="48" t="s">
        <v>52</v>
      </c>
      <c r="I17" s="48" t="s">
        <v>55</v>
      </c>
    </row>
    <row r="18" spans="1:9" ht="165">
      <c r="A18" s="20" t="s">
        <v>103</v>
      </c>
      <c r="B18" s="19" t="s">
        <v>142</v>
      </c>
      <c r="C18" s="19" t="s">
        <v>143</v>
      </c>
      <c r="D18" s="19" t="s">
        <v>106</v>
      </c>
      <c r="E18" s="19" t="s">
        <v>149</v>
      </c>
      <c r="F18" s="19" t="s">
        <v>111</v>
      </c>
      <c r="G18" s="19" t="s">
        <v>111</v>
      </c>
      <c r="H18" s="48" t="s">
        <v>52</v>
      </c>
      <c r="I18" s="48" t="s">
        <v>55</v>
      </c>
    </row>
  </sheetData>
  <phoneticPr fontId="12" type="noConversion"/>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10" operator="containsText" id="{4DF980DA-F797-409B-9BA0-898BADEB1F9B}">
            <xm:f>NOT(ISERROR(SEARCH(Chung!$K$20,H5)))</xm:f>
            <xm:f>Chung!$K$20</xm:f>
            <x14:dxf>
              <fill>
                <patternFill>
                  <bgColor rgb="FFFF7C80"/>
                </patternFill>
              </fill>
            </x14:dxf>
          </x14:cfRule>
          <x14:cfRule type="containsText" priority="11" operator="containsText" id="{CA0AA74A-E7D7-4FE8-99AF-36A2A601D2DD}">
            <xm:f>NOT(ISERROR(SEARCH(Chung!$K$19,H5)))</xm:f>
            <xm:f>Chung!$K$19</xm:f>
            <x14:dxf>
              <fill>
                <patternFill>
                  <bgColor theme="9" tint="0.39994506668294322"/>
                </patternFill>
              </fill>
            </x14:dxf>
          </x14:cfRule>
          <xm:sqref>H5:H18</xm:sqref>
        </x14:conditionalFormatting>
        <x14:conditionalFormatting xmlns:xm="http://schemas.microsoft.com/office/excel/2006/main">
          <x14:cfRule type="containsText" priority="12" operator="containsText" id="{2B7C12E2-1B7D-4823-BB39-7C741B8F1A5A}">
            <xm:f>NOT(ISERROR(SEARCH(Chung!$L$20,I5)))</xm:f>
            <xm:f>Chung!$L$20</xm:f>
            <x14:dxf>
              <fill>
                <patternFill>
                  <bgColor theme="2" tint="-9.9948118533890809E-2"/>
                </patternFill>
              </fill>
            </x14:dxf>
          </x14:cfRule>
          <x14:cfRule type="containsText" priority="13" operator="containsText" id="{E137D0FC-1DD2-41BE-AC71-3B415426980E}">
            <xm:f>NOT(ISERROR(SEARCH(Chung!$L$19,I5)))</xm:f>
            <xm:f>Chung!$L$19</xm:f>
            <x14:dxf>
              <fill>
                <patternFill>
                  <bgColor theme="7" tint="0.59996337778862885"/>
                </patternFill>
              </fill>
            </x14:dxf>
          </x14:cfRule>
          <xm:sqref>I5:I18</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Chung!$K$19:$K$20</xm:f>
          </x14:formula1>
          <xm:sqref>H5:H18</xm:sqref>
        </x14:dataValidation>
        <x14:dataValidation type="list" allowBlank="1" showInputMessage="1" showErrorMessage="1">
          <x14:formula1>
            <xm:f>Chung!$L$19:$L$20</xm:f>
          </x14:formula1>
          <xm:sqref>I5:I18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115"/>
  <sheetViews>
    <sheetView topLeftCell="A4" zoomScale="55" zoomScaleNormal="55" workbookViewId="0">
      <selection activeCell="E6" sqref="E6"/>
    </sheetView>
  </sheetViews>
  <sheetFormatPr defaultColWidth="8.90625" defaultRowHeight="16.5"/>
  <cols>
    <col min="1" max="1" width="15" customWidth="1"/>
    <col min="2" max="2" width="23.36328125" bestFit="1" customWidth="1"/>
    <col min="3" max="3" width="26.1796875" customWidth="1"/>
    <col min="4" max="4" width="22.26953125" customWidth="1"/>
    <col min="5" max="5" width="40.81640625" customWidth="1"/>
    <col min="6" max="6" width="30.1796875" customWidth="1"/>
    <col min="7" max="7" width="31.54296875" customWidth="1"/>
    <col min="8" max="8" width="13.81640625" style="12" customWidth="1"/>
    <col min="9" max="9" width="14.90625" style="13" customWidth="1"/>
  </cols>
  <sheetData>
    <row r="1" spans="1:9" s="1" customFormat="1" ht="46" customHeight="1">
      <c r="A1" s="2" t="s">
        <v>9</v>
      </c>
      <c r="B1" s="2" t="s">
        <v>10</v>
      </c>
      <c r="C1" s="3" t="e">
        <f>"Pass: "&amp;COUNTIF(#REF!,"Pass")</f>
        <v>#REF!</v>
      </c>
      <c r="D1" s="4" t="e">
        <f>"Untested: "&amp;COUNTIF(#REF!,"Untest")</f>
        <v>#REF!</v>
      </c>
      <c r="E1" s="5"/>
      <c r="H1" s="17"/>
    </row>
    <row r="2" spans="1:9" s="1" customFormat="1" ht="28" customHeight="1">
      <c r="A2" s="6" t="s">
        <v>11</v>
      </c>
      <c r="B2" s="7" t="s">
        <v>12</v>
      </c>
      <c r="C2" s="3" t="e">
        <f>"Fail: "&amp;COUNTIF(#REF!,"Fail")</f>
        <v>#REF!</v>
      </c>
      <c r="D2" s="4" t="e">
        <f>"N/A: "&amp;COUNTIF(#REF!,"N/A")</f>
        <v>#REF!</v>
      </c>
      <c r="E2" s="5"/>
      <c r="H2" s="17"/>
    </row>
    <row r="3" spans="1:9" s="1" customFormat="1" ht="28" customHeight="1">
      <c r="A3" s="6" t="s">
        <v>13</v>
      </c>
      <c r="B3" s="6" t="s">
        <v>29</v>
      </c>
      <c r="C3" s="3" t="e">
        <f>"Percent Complete: "&amp;ROUND((COUNTIF(#REF!,"Pass")*100)/((COUNTA($A$6:$A$942)*5)-COUNTIF(#REF!,"N/A")),2)&amp;"%"</f>
        <v>#REF!</v>
      </c>
      <c r="D3" s="8" t="str">
        <f>"Number of cases: "&amp;(COUNTA($A$5:$A$942))</f>
        <v>Number of cases: 11</v>
      </c>
      <c r="E3" s="9"/>
      <c r="H3" s="17"/>
    </row>
    <row r="4" spans="1:9" ht="46" customHeight="1">
      <c r="A4" s="11" t="s">
        <v>26</v>
      </c>
      <c r="B4" s="11" t="s">
        <v>15</v>
      </c>
      <c r="C4" s="11" t="s">
        <v>27</v>
      </c>
      <c r="D4" s="11" t="s">
        <v>17</v>
      </c>
      <c r="E4" s="11" t="s">
        <v>18</v>
      </c>
      <c r="F4" s="11" t="s">
        <v>19</v>
      </c>
      <c r="G4" s="11" t="s">
        <v>20</v>
      </c>
      <c r="H4" s="11" t="s">
        <v>21</v>
      </c>
      <c r="I4" s="57" t="s">
        <v>22</v>
      </c>
    </row>
    <row r="5" spans="1:9" s="61" customFormat="1" ht="108.5">
      <c r="A5" s="72" t="s">
        <v>80</v>
      </c>
      <c r="B5" s="55" t="s">
        <v>57</v>
      </c>
      <c r="C5" s="18" t="s">
        <v>39</v>
      </c>
      <c r="D5" s="18" t="s">
        <v>40</v>
      </c>
      <c r="E5" s="55" t="s">
        <v>124</v>
      </c>
      <c r="F5" s="55" t="s">
        <v>126</v>
      </c>
      <c r="G5" s="55" t="s">
        <v>126</v>
      </c>
      <c r="H5" s="48" t="s">
        <v>52</v>
      </c>
      <c r="I5" s="48" t="s">
        <v>55</v>
      </c>
    </row>
    <row r="6" spans="1:9" ht="108.5">
      <c r="A6" s="72" t="s">
        <v>81</v>
      </c>
      <c r="B6" s="55" t="s">
        <v>114</v>
      </c>
      <c r="C6" s="18" t="s">
        <v>39</v>
      </c>
      <c r="D6" s="18" t="s">
        <v>40</v>
      </c>
      <c r="E6" s="55" t="s">
        <v>125</v>
      </c>
      <c r="F6" s="55" t="s">
        <v>126</v>
      </c>
      <c r="G6" s="55" t="s">
        <v>126</v>
      </c>
      <c r="H6" s="48" t="s">
        <v>52</v>
      </c>
      <c r="I6" s="48" t="s">
        <v>55</v>
      </c>
    </row>
    <row r="7" spans="1:9" ht="62">
      <c r="A7" s="90" t="s">
        <v>82</v>
      </c>
      <c r="B7" s="89" t="s">
        <v>115</v>
      </c>
      <c r="C7" s="55" t="s">
        <v>39</v>
      </c>
      <c r="D7" s="18" t="s">
        <v>40</v>
      </c>
      <c r="E7" s="55" t="s">
        <v>127</v>
      </c>
      <c r="F7" s="55" t="s">
        <v>129</v>
      </c>
      <c r="G7" s="55" t="s">
        <v>129</v>
      </c>
      <c r="H7" s="76" t="s">
        <v>52</v>
      </c>
      <c r="I7" s="48" t="s">
        <v>55</v>
      </c>
    </row>
    <row r="8" spans="1:9" ht="62">
      <c r="A8" s="72" t="s">
        <v>83</v>
      </c>
      <c r="B8" s="55" t="s">
        <v>116</v>
      </c>
      <c r="C8" s="18" t="s">
        <v>39</v>
      </c>
      <c r="D8" s="18" t="s">
        <v>40</v>
      </c>
      <c r="E8" s="55" t="s">
        <v>128</v>
      </c>
      <c r="F8" s="55" t="s">
        <v>129</v>
      </c>
      <c r="G8" s="55" t="s">
        <v>129</v>
      </c>
      <c r="H8" s="48" t="s">
        <v>52</v>
      </c>
      <c r="I8" s="48" t="s">
        <v>55</v>
      </c>
    </row>
    <row r="9" spans="1:9" ht="62">
      <c r="A9" s="72" t="s">
        <v>84</v>
      </c>
      <c r="B9" s="55" t="s">
        <v>117</v>
      </c>
      <c r="C9" s="55" t="s">
        <v>121</v>
      </c>
      <c r="D9" s="18" t="s">
        <v>40</v>
      </c>
      <c r="E9" s="55" t="s">
        <v>130</v>
      </c>
      <c r="F9" s="55" t="s">
        <v>131</v>
      </c>
      <c r="G9" s="55" t="s">
        <v>131</v>
      </c>
      <c r="H9" s="48" t="s">
        <v>52</v>
      </c>
      <c r="I9" s="48" t="s">
        <v>55</v>
      </c>
    </row>
    <row r="10" spans="1:9" ht="62">
      <c r="A10" s="72" t="s">
        <v>85</v>
      </c>
      <c r="B10" s="55" t="s">
        <v>118</v>
      </c>
      <c r="C10" s="55" t="s">
        <v>122</v>
      </c>
      <c r="D10" s="18" t="s">
        <v>40</v>
      </c>
      <c r="E10" s="55" t="s">
        <v>132</v>
      </c>
      <c r="F10" s="55" t="s">
        <v>133</v>
      </c>
      <c r="G10" s="55" t="s">
        <v>133</v>
      </c>
      <c r="H10" s="48" t="s">
        <v>52</v>
      </c>
      <c r="I10" s="48" t="s">
        <v>55</v>
      </c>
    </row>
    <row r="11" spans="1:9" ht="62">
      <c r="A11" s="91" t="s">
        <v>86</v>
      </c>
      <c r="B11" s="21" t="s">
        <v>41</v>
      </c>
      <c r="C11" s="92" t="s">
        <v>42</v>
      </c>
      <c r="D11" s="93" t="s">
        <v>40</v>
      </c>
      <c r="E11" s="92" t="s">
        <v>134</v>
      </c>
      <c r="F11" s="55" t="s">
        <v>133</v>
      </c>
      <c r="G11" s="55" t="s">
        <v>133</v>
      </c>
      <c r="H11" s="94" t="s">
        <v>52</v>
      </c>
      <c r="I11" s="94" t="s">
        <v>55</v>
      </c>
    </row>
    <row r="12" spans="1:9" ht="65.5" customHeight="1">
      <c r="A12" s="72" t="s">
        <v>87</v>
      </c>
      <c r="B12" s="19" t="s">
        <v>43</v>
      </c>
      <c r="C12" s="55" t="s">
        <v>44</v>
      </c>
      <c r="D12" s="18" t="s">
        <v>40</v>
      </c>
      <c r="E12" s="55" t="s">
        <v>58</v>
      </c>
      <c r="F12" s="55" t="s">
        <v>133</v>
      </c>
      <c r="G12" s="55" t="s">
        <v>133</v>
      </c>
      <c r="H12" s="48" t="s">
        <v>51</v>
      </c>
      <c r="I12" s="48" t="s">
        <v>55</v>
      </c>
    </row>
    <row r="13" spans="1:9" ht="68.5" customHeight="1">
      <c r="A13" s="72" t="s">
        <v>88</v>
      </c>
      <c r="B13" s="55" t="s">
        <v>28</v>
      </c>
      <c r="C13" s="55" t="s">
        <v>45</v>
      </c>
      <c r="D13" s="18" t="s">
        <v>40</v>
      </c>
      <c r="E13" s="55" t="s">
        <v>135</v>
      </c>
      <c r="F13" s="55" t="s">
        <v>133</v>
      </c>
      <c r="G13" s="55" t="s">
        <v>133</v>
      </c>
      <c r="H13" s="48" t="s">
        <v>52</v>
      </c>
      <c r="I13" s="48" t="s">
        <v>55</v>
      </c>
    </row>
    <row r="14" spans="1:9" ht="108.5">
      <c r="A14" s="72" t="s">
        <v>119</v>
      </c>
      <c r="B14" s="55" t="s">
        <v>59</v>
      </c>
      <c r="C14" s="55" t="s">
        <v>60</v>
      </c>
      <c r="D14" s="18" t="s">
        <v>40</v>
      </c>
      <c r="E14" s="55" t="s">
        <v>136</v>
      </c>
      <c r="F14" s="55" t="s">
        <v>126</v>
      </c>
      <c r="G14" s="55" t="s">
        <v>126</v>
      </c>
      <c r="H14" s="48" t="s">
        <v>51</v>
      </c>
      <c r="I14" s="48" t="s">
        <v>55</v>
      </c>
    </row>
    <row r="15" spans="1:9" ht="62">
      <c r="A15" s="72" t="s">
        <v>120</v>
      </c>
      <c r="B15" s="55" t="s">
        <v>113</v>
      </c>
      <c r="C15" s="55" t="s">
        <v>123</v>
      </c>
      <c r="D15" s="55" t="s">
        <v>40</v>
      </c>
      <c r="E15" s="55" t="s">
        <v>137</v>
      </c>
      <c r="F15" s="55" t="s">
        <v>138</v>
      </c>
      <c r="G15" s="55" t="s">
        <v>138</v>
      </c>
      <c r="H15" s="48" t="s">
        <v>52</v>
      </c>
      <c r="I15" s="48" t="s">
        <v>55</v>
      </c>
    </row>
    <row r="16" spans="1:9" ht="14.5" customHeight="1">
      <c r="I16" s="14"/>
    </row>
    <row r="17" spans="5:9" ht="14.5" customHeight="1">
      <c r="I17" s="14"/>
    </row>
    <row r="18" spans="5:9" ht="14.5" customHeight="1">
      <c r="I18" s="14"/>
    </row>
    <row r="19" spans="5:9" ht="14.5" customHeight="1">
      <c r="E19" s="62"/>
      <c r="I19" s="14"/>
    </row>
    <row r="20" spans="5:9" ht="14.5" customHeight="1">
      <c r="I20" s="14"/>
    </row>
    <row r="21" spans="5:9" ht="14.5" customHeight="1">
      <c r="I21" s="14"/>
    </row>
    <row r="22" spans="5:9" ht="14.5" customHeight="1">
      <c r="I22" s="14"/>
    </row>
    <row r="23" spans="5:9" ht="14.5" customHeight="1">
      <c r="I23" s="14"/>
    </row>
    <row r="24" spans="5:9" ht="14.5" customHeight="1">
      <c r="I24" s="14"/>
    </row>
    <row r="25" spans="5:9" ht="14.5" customHeight="1">
      <c r="I25" s="14"/>
    </row>
    <row r="26" spans="5:9" ht="14.5" customHeight="1">
      <c r="I26" s="14"/>
    </row>
    <row r="27" spans="5:9" ht="14.5" customHeight="1">
      <c r="I27" s="14"/>
    </row>
    <row r="28" spans="5:9" ht="14.5" customHeight="1">
      <c r="I28" s="14"/>
    </row>
    <row r="29" spans="5:9" ht="14.5" customHeight="1">
      <c r="I29" s="14"/>
    </row>
    <row r="30" spans="5:9" ht="14.5" customHeight="1">
      <c r="I30" s="14"/>
    </row>
    <row r="31" spans="5:9" ht="14.5" customHeight="1">
      <c r="I31" s="14"/>
    </row>
    <row r="32" spans="5:9" ht="14.5" customHeight="1">
      <c r="I32" s="14"/>
    </row>
    <row r="33" spans="9:9" ht="14.5" customHeight="1">
      <c r="I33" s="14"/>
    </row>
    <row r="34" spans="9:9" ht="14.5" customHeight="1">
      <c r="I34" s="14"/>
    </row>
    <row r="35" spans="9:9" ht="14.5" customHeight="1">
      <c r="I35" s="14"/>
    </row>
    <row r="36" spans="9:9" ht="14.5" customHeight="1">
      <c r="I36" s="14"/>
    </row>
    <row r="37" spans="9:9" ht="14.5" customHeight="1">
      <c r="I37" s="14"/>
    </row>
    <row r="38" spans="9:9" ht="14.5" customHeight="1">
      <c r="I38" s="14"/>
    </row>
    <row r="39" spans="9:9" ht="14.5" customHeight="1">
      <c r="I39" s="14"/>
    </row>
    <row r="40" spans="9:9" ht="14.5" customHeight="1">
      <c r="I40" s="14"/>
    </row>
    <row r="41" spans="9:9" ht="14.5" customHeight="1">
      <c r="I41" s="14"/>
    </row>
    <row r="42" spans="9:9" ht="14.5" customHeight="1">
      <c r="I42" s="14"/>
    </row>
    <row r="43" spans="9:9" ht="14.5" customHeight="1">
      <c r="I43" s="14"/>
    </row>
    <row r="44" spans="9:9" ht="14.5" customHeight="1">
      <c r="I44" s="14"/>
    </row>
    <row r="45" spans="9:9" ht="14.5" customHeight="1">
      <c r="I45" s="14"/>
    </row>
    <row r="46" spans="9:9" ht="14.5" customHeight="1">
      <c r="I46" s="14"/>
    </row>
    <row r="47" spans="9:9" ht="14.5" customHeight="1">
      <c r="I47" s="14"/>
    </row>
    <row r="48" spans="9:9" ht="14.5" customHeight="1">
      <c r="I48" s="14"/>
    </row>
    <row r="49" spans="9:9" ht="14.5" customHeight="1">
      <c r="I49" s="14"/>
    </row>
    <row r="50" spans="9:9" ht="14.5" customHeight="1">
      <c r="I50" s="14"/>
    </row>
    <row r="51" spans="9:9" ht="14.5" customHeight="1">
      <c r="I51" s="14"/>
    </row>
    <row r="52" spans="9:9" ht="14.5" customHeight="1">
      <c r="I52" s="14"/>
    </row>
    <row r="53" spans="9:9" ht="14.5" customHeight="1">
      <c r="I53" s="14"/>
    </row>
    <row r="54" spans="9:9" ht="14.5" customHeight="1">
      <c r="I54" s="14"/>
    </row>
    <row r="55" spans="9:9" ht="14.5" customHeight="1">
      <c r="I55" s="14"/>
    </row>
    <row r="56" spans="9:9" ht="14.5" customHeight="1">
      <c r="I56" s="14"/>
    </row>
    <row r="57" spans="9:9" ht="14.5" customHeight="1">
      <c r="I57" s="14"/>
    </row>
    <row r="58" spans="9:9" ht="14.5" customHeight="1">
      <c r="I58" s="14"/>
    </row>
    <row r="59" spans="9:9" ht="14.5" customHeight="1">
      <c r="I59" s="14"/>
    </row>
    <row r="60" spans="9:9" ht="14.5" customHeight="1">
      <c r="I60" s="14"/>
    </row>
    <row r="61" spans="9:9" ht="14.5" customHeight="1">
      <c r="I61" s="14"/>
    </row>
    <row r="62" spans="9:9" ht="14.5" customHeight="1">
      <c r="I62" s="14"/>
    </row>
    <row r="63" spans="9:9" ht="14.5" customHeight="1">
      <c r="I63" s="14"/>
    </row>
    <row r="64" spans="9:9" ht="14.5" customHeight="1">
      <c r="I64" s="14"/>
    </row>
    <row r="65" spans="9:9" ht="14.5" customHeight="1">
      <c r="I65" s="14"/>
    </row>
    <row r="66" spans="9:9" ht="14.5" customHeight="1">
      <c r="I66" s="14"/>
    </row>
    <row r="67" spans="9:9" ht="14.5" customHeight="1">
      <c r="I67" s="14"/>
    </row>
    <row r="68" spans="9:9" ht="14.5" customHeight="1">
      <c r="I68" s="14"/>
    </row>
    <row r="69" spans="9:9" ht="14.5" customHeight="1">
      <c r="I69" s="14"/>
    </row>
    <row r="70" spans="9:9" ht="14.5" customHeight="1">
      <c r="I70" s="14"/>
    </row>
    <row r="71" spans="9:9" ht="14.5" customHeight="1">
      <c r="I71" s="14"/>
    </row>
    <row r="72" spans="9:9" ht="14.5" customHeight="1">
      <c r="I72" s="14"/>
    </row>
    <row r="73" spans="9:9" ht="14.5" customHeight="1">
      <c r="I73" s="14"/>
    </row>
    <row r="74" spans="9:9" ht="14.5" customHeight="1">
      <c r="I74" s="14"/>
    </row>
    <row r="75" spans="9:9" ht="14.5" customHeight="1">
      <c r="I75" s="14"/>
    </row>
    <row r="76" spans="9:9" ht="14.5" customHeight="1">
      <c r="I76" s="14"/>
    </row>
    <row r="77" spans="9:9" ht="14.5" customHeight="1">
      <c r="I77" s="14"/>
    </row>
    <row r="78" spans="9:9" ht="14.5" customHeight="1">
      <c r="I78" s="14"/>
    </row>
    <row r="79" spans="9:9" ht="14.5" customHeight="1">
      <c r="I79" s="14"/>
    </row>
    <row r="80" spans="9:9" ht="14.5" customHeight="1">
      <c r="I80" s="14"/>
    </row>
    <row r="81" spans="9:9" ht="14.5" customHeight="1">
      <c r="I81" s="14"/>
    </row>
    <row r="82" spans="9:9" ht="14.5" customHeight="1">
      <c r="I82" s="14"/>
    </row>
    <row r="83" spans="9:9" ht="14.5" customHeight="1">
      <c r="I83" s="14"/>
    </row>
    <row r="84" spans="9:9" ht="14.5" customHeight="1">
      <c r="I84" s="14"/>
    </row>
    <row r="85" spans="9:9" ht="14.5" customHeight="1">
      <c r="I85" s="14"/>
    </row>
    <row r="86" spans="9:9" ht="14.5" customHeight="1">
      <c r="I86" s="14"/>
    </row>
    <row r="87" spans="9:9" ht="14.5" customHeight="1">
      <c r="I87" s="14"/>
    </row>
    <row r="88" spans="9:9" ht="14.5" customHeight="1">
      <c r="I88" s="14"/>
    </row>
    <row r="89" spans="9:9" ht="14.5" customHeight="1">
      <c r="I89" s="14"/>
    </row>
    <row r="90" spans="9:9" ht="14.5" customHeight="1">
      <c r="I90" s="14"/>
    </row>
    <row r="91" spans="9:9" ht="14.5" customHeight="1">
      <c r="I91" s="14"/>
    </row>
    <row r="92" spans="9:9" ht="14.5" customHeight="1">
      <c r="I92" s="14"/>
    </row>
    <row r="93" spans="9:9" ht="14.5" customHeight="1">
      <c r="I93" s="14"/>
    </row>
    <row r="94" spans="9:9" ht="14.5" customHeight="1">
      <c r="I94" s="14"/>
    </row>
    <row r="95" spans="9:9" ht="14.5" customHeight="1">
      <c r="I95" s="14"/>
    </row>
    <row r="96" spans="9:9" ht="14.5" customHeight="1">
      <c r="I96" s="14"/>
    </row>
    <row r="97" spans="9:9" ht="14.5" customHeight="1">
      <c r="I97" s="14"/>
    </row>
    <row r="98" spans="9:9" ht="14.5" customHeight="1">
      <c r="I98" s="14"/>
    </row>
    <row r="99" spans="9:9" ht="14.5" customHeight="1">
      <c r="I99" s="14"/>
    </row>
    <row r="100" spans="9:9" ht="14.5" customHeight="1">
      <c r="I100" s="14"/>
    </row>
    <row r="101" spans="9:9" ht="14.5" customHeight="1">
      <c r="I101" s="14"/>
    </row>
    <row r="102" spans="9:9" ht="14.5" customHeight="1">
      <c r="I102" s="14"/>
    </row>
    <row r="103" spans="9:9" ht="14.5" customHeight="1">
      <c r="I103" s="14"/>
    </row>
    <row r="104" spans="9:9" ht="14.5" customHeight="1">
      <c r="I104" s="14"/>
    </row>
    <row r="105" spans="9:9" ht="14.5" customHeight="1">
      <c r="I105" s="14"/>
    </row>
    <row r="106" spans="9:9" ht="14.5" customHeight="1">
      <c r="I106" s="14"/>
    </row>
    <row r="107" spans="9:9" ht="14.5" customHeight="1">
      <c r="I107" s="14"/>
    </row>
    <row r="108" spans="9:9" ht="14.5" customHeight="1">
      <c r="I108" s="14"/>
    </row>
    <row r="109" spans="9:9" ht="14.5" customHeight="1">
      <c r="I109" s="14"/>
    </row>
    <row r="110" spans="9:9" ht="14.5" customHeight="1">
      <c r="I110" s="14"/>
    </row>
    <row r="111" spans="9:9" ht="14.5" customHeight="1">
      <c r="I111" s="14"/>
    </row>
    <row r="112" spans="9:9" ht="14.5" customHeight="1">
      <c r="I112" s="14"/>
    </row>
    <row r="113" spans="9:9" ht="14.5" customHeight="1">
      <c r="I113" s="14"/>
    </row>
    <row r="114" spans="9:9" ht="14.5" customHeight="1">
      <c r="I114" s="14"/>
    </row>
    <row r="115" spans="9:9" ht="14.5" customHeight="1">
      <c r="I115" s="14"/>
    </row>
  </sheetData>
  <phoneticPr fontId="15" type="noConversion"/>
  <hyperlinks>
    <hyperlink ref="A1" location="'Test report'!A1" display="Back to TestReport"/>
    <hyperlink ref="B1" location="BugList!A1" display="To Buglist"/>
  </hyperlink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containsText" priority="14" operator="containsText" id="{167B4CBA-F46C-4E08-9CD6-AF317DC66F51}">
            <xm:f>NOT(ISERROR(SEARCH(Chung!$K$20,H5)))</xm:f>
            <xm:f>Chung!$K$20</xm:f>
            <x14:dxf>
              <fill>
                <patternFill>
                  <bgColor rgb="FFFF7C80"/>
                </patternFill>
              </fill>
            </x14:dxf>
          </x14:cfRule>
          <x14:cfRule type="containsText" priority="15" operator="containsText" id="{D6C9701B-3C25-411B-9C2F-FCA876FE595C}">
            <xm:f>NOT(ISERROR(SEARCH(Chung!$K$19,H5)))</xm:f>
            <xm:f>Chung!$K$19</xm:f>
            <x14:dxf>
              <fill>
                <patternFill>
                  <bgColor theme="9" tint="0.39994506668294322"/>
                </patternFill>
              </fill>
            </x14:dxf>
          </x14:cfRule>
          <xm:sqref>H5:H15</xm:sqref>
        </x14:conditionalFormatting>
        <x14:conditionalFormatting xmlns:xm="http://schemas.microsoft.com/office/excel/2006/main">
          <x14:cfRule type="containsText" priority="16" operator="containsText" id="{C1B0DEAD-A781-4C62-A7CF-FF929C11B14A}">
            <xm:f>NOT(ISERROR(SEARCH(Chung!$L$20,I5)))</xm:f>
            <xm:f>Chung!$L$20</xm:f>
            <x14:dxf>
              <fill>
                <patternFill>
                  <bgColor theme="2" tint="-9.9948118533890809E-2"/>
                </patternFill>
              </fill>
            </x14:dxf>
          </x14:cfRule>
          <x14:cfRule type="containsText" priority="17" operator="containsText" id="{2C913F78-7E8A-4F17-A0A3-6971424A9470}">
            <xm:f>NOT(ISERROR(SEARCH(Chung!$L$19,I5)))</xm:f>
            <xm:f>Chung!$L$19</xm:f>
            <x14:dxf>
              <fill>
                <patternFill>
                  <bgColor theme="7" tint="0.59996337778862885"/>
                </patternFill>
              </fill>
            </x14:dxf>
          </x14:cfRule>
          <xm:sqref>I5:I15</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Chung!$K$19:$K$20</xm:f>
          </x14:formula1>
          <xm:sqref>H5:H15</xm:sqref>
        </x14:dataValidation>
        <x14:dataValidation type="list" allowBlank="1" showInputMessage="1" showErrorMessage="1">
          <x14:formula1>
            <xm:f>Chung!$L$19:$L$20</xm:f>
          </x14:formula1>
          <xm:sqref>I5:I15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48"/>
  <sheetViews>
    <sheetView zoomScale="70" zoomScaleNormal="70" workbookViewId="0">
      <selection activeCell="B18" sqref="B18"/>
    </sheetView>
  </sheetViews>
  <sheetFormatPr defaultColWidth="8.90625" defaultRowHeight="16.5"/>
  <cols>
    <col min="1" max="1" width="22.26953125" style="15" customWidth="1"/>
    <col min="2" max="2" width="24.26953125" style="13" customWidth="1"/>
    <col min="3" max="3" width="23.90625" style="13" customWidth="1"/>
    <col min="4" max="4" width="35.81640625" style="13" customWidth="1"/>
    <col min="5" max="5" width="34.54296875" style="98" customWidth="1"/>
    <col min="6" max="6" width="25" style="13" customWidth="1"/>
    <col min="7" max="7" width="24.08984375" style="13" customWidth="1"/>
    <col min="8" max="8" width="8.90625" style="13"/>
    <col min="9" max="9" width="11.7265625" style="15" customWidth="1"/>
    <col min="10" max="16384" width="8.90625" style="13"/>
  </cols>
  <sheetData>
    <row r="1" spans="1:9" s="1" customFormat="1" ht="46" customHeight="1">
      <c r="A1" s="2" t="s">
        <v>9</v>
      </c>
      <c r="B1" s="2" t="s">
        <v>10</v>
      </c>
      <c r="C1" s="2"/>
      <c r="D1" s="3" t="e">
        <f>"Pass: "&amp;COUNTIF(#REF!,"Pass")</f>
        <v>#REF!</v>
      </c>
      <c r="E1" s="95" t="e">
        <f>"Untested: "&amp;COUNTIF(#REF!,"Untest")</f>
        <v>#REF!</v>
      </c>
      <c r="F1" s="5"/>
      <c r="I1" s="17"/>
    </row>
    <row r="2" spans="1:9" s="1" customFormat="1" ht="28" customHeight="1">
      <c r="A2" s="6" t="s">
        <v>11</v>
      </c>
      <c r="B2" s="7" t="s">
        <v>12</v>
      </c>
      <c r="C2" s="7"/>
      <c r="D2" s="3" t="e">
        <f>"Fail: "&amp;COUNTIF(#REF!,"Fail")</f>
        <v>#REF!</v>
      </c>
      <c r="E2" s="95" t="e">
        <f>"N/A: "&amp;COUNTIF(#REF!,"N/A")</f>
        <v>#REF!</v>
      </c>
      <c r="F2" s="5"/>
      <c r="I2" s="17"/>
    </row>
    <row r="3" spans="1:9" s="1" customFormat="1" ht="28" customHeight="1">
      <c r="A3" s="6" t="s">
        <v>13</v>
      </c>
      <c r="B3" s="6" t="s">
        <v>29</v>
      </c>
      <c r="C3" s="6"/>
      <c r="D3" s="3" t="e">
        <f>"Percent Complete: "&amp;ROUND((COUNTIF(#REF!,"Pass")*100)/((COUNTA($A$5:$A$872)*5)-COUNTIF(#REF!,"N/A")),2)&amp;"%"</f>
        <v>#REF!</v>
      </c>
      <c r="E3" s="96" t="str">
        <f>"Number of cases: "&amp;(COUNTA($A$5:$A$872))</f>
        <v>Number of cases: 14</v>
      </c>
      <c r="F3" s="9"/>
      <c r="I3" s="17"/>
    </row>
    <row r="4" spans="1:9" s="15" customFormat="1" ht="33.65" customHeight="1">
      <c r="A4" s="16" t="s">
        <v>14</v>
      </c>
      <c r="B4" s="11" t="s">
        <v>15</v>
      </c>
      <c r="C4" s="11" t="s">
        <v>16</v>
      </c>
      <c r="D4" s="11" t="s">
        <v>17</v>
      </c>
      <c r="E4" s="97" t="s">
        <v>18</v>
      </c>
      <c r="F4" s="11" t="s">
        <v>19</v>
      </c>
      <c r="G4" s="11" t="s">
        <v>20</v>
      </c>
      <c r="H4" s="11" t="s">
        <v>21</v>
      </c>
      <c r="I4" s="29" t="s">
        <v>22</v>
      </c>
    </row>
    <row r="5" spans="1:9" ht="299" customHeight="1">
      <c r="A5" s="23" t="s">
        <v>235</v>
      </c>
      <c r="B5" s="25" t="s">
        <v>46</v>
      </c>
      <c r="C5" s="10" t="s">
        <v>30</v>
      </c>
      <c r="D5" s="10" t="s">
        <v>31</v>
      </c>
      <c r="E5" s="25" t="s">
        <v>183</v>
      </c>
      <c r="F5" s="10" t="s">
        <v>32</v>
      </c>
      <c r="G5" s="10" t="s">
        <v>32</v>
      </c>
      <c r="H5" s="48" t="s">
        <v>52</v>
      </c>
      <c r="I5" s="48" t="s">
        <v>55</v>
      </c>
    </row>
    <row r="6" spans="1:9" ht="296.5" customHeight="1">
      <c r="A6" s="23" t="s">
        <v>236</v>
      </c>
      <c r="B6" s="25" t="s">
        <v>46</v>
      </c>
      <c r="C6" s="10" t="s">
        <v>30</v>
      </c>
      <c r="D6" s="10" t="s">
        <v>31</v>
      </c>
      <c r="E6" s="21" t="s">
        <v>184</v>
      </c>
      <c r="F6" s="10" t="s">
        <v>32</v>
      </c>
      <c r="G6" s="10" t="s">
        <v>32</v>
      </c>
      <c r="H6" s="48" t="s">
        <v>52</v>
      </c>
      <c r="I6" s="48" t="s">
        <v>55</v>
      </c>
    </row>
    <row r="7" spans="1:9" ht="271" customHeight="1">
      <c r="A7" s="23" t="s">
        <v>237</v>
      </c>
      <c r="B7" s="25" t="s">
        <v>188</v>
      </c>
      <c r="C7" s="10" t="s">
        <v>191</v>
      </c>
      <c r="D7" s="10" t="s">
        <v>31</v>
      </c>
      <c r="E7" s="21" t="s">
        <v>185</v>
      </c>
      <c r="F7" s="10" t="s">
        <v>32</v>
      </c>
      <c r="G7" s="10" t="s">
        <v>32</v>
      </c>
      <c r="H7" s="48" t="s">
        <v>52</v>
      </c>
      <c r="I7" s="48" t="s">
        <v>55</v>
      </c>
    </row>
    <row r="8" spans="1:9" ht="274" customHeight="1">
      <c r="A8" s="23" t="s">
        <v>238</v>
      </c>
      <c r="B8" s="25" t="s">
        <v>189</v>
      </c>
      <c r="C8" s="25" t="s">
        <v>190</v>
      </c>
      <c r="D8" s="10" t="s">
        <v>31</v>
      </c>
      <c r="E8" s="21" t="s">
        <v>186</v>
      </c>
      <c r="F8" s="10" t="s">
        <v>32</v>
      </c>
      <c r="G8" s="10" t="s">
        <v>32</v>
      </c>
      <c r="H8" s="48" t="s">
        <v>52</v>
      </c>
      <c r="I8" s="48" t="s">
        <v>55</v>
      </c>
    </row>
    <row r="9" spans="1:9" ht="274" customHeight="1">
      <c r="A9" s="23" t="s">
        <v>239</v>
      </c>
      <c r="B9" s="25" t="s">
        <v>192</v>
      </c>
      <c r="C9" s="25" t="s">
        <v>47</v>
      </c>
      <c r="D9" s="10" t="s">
        <v>31</v>
      </c>
      <c r="E9" s="21" t="s">
        <v>193</v>
      </c>
      <c r="F9" s="10" t="s">
        <v>32</v>
      </c>
      <c r="G9" s="10" t="s">
        <v>32</v>
      </c>
      <c r="H9" s="48" t="s">
        <v>52</v>
      </c>
      <c r="I9" s="48" t="s">
        <v>55</v>
      </c>
    </row>
    <row r="10" spans="1:9" ht="275.5" customHeight="1">
      <c r="A10" s="23" t="s">
        <v>240</v>
      </c>
      <c r="B10" s="25" t="s">
        <v>196</v>
      </c>
      <c r="C10" s="25" t="s">
        <v>194</v>
      </c>
      <c r="D10" s="10" t="s">
        <v>31</v>
      </c>
      <c r="E10" s="21" t="s">
        <v>195</v>
      </c>
      <c r="F10" s="10" t="s">
        <v>32</v>
      </c>
      <c r="G10" s="10" t="s">
        <v>32</v>
      </c>
      <c r="H10" s="48" t="s">
        <v>52</v>
      </c>
      <c r="I10" s="48" t="s">
        <v>55</v>
      </c>
    </row>
    <row r="11" spans="1:9" ht="278" customHeight="1">
      <c r="A11" s="23" t="s">
        <v>241</v>
      </c>
      <c r="B11" s="25" t="s">
        <v>197</v>
      </c>
      <c r="C11" s="25" t="s">
        <v>198</v>
      </c>
      <c r="D11" s="25" t="s">
        <v>31</v>
      </c>
      <c r="E11" s="21" t="s">
        <v>199</v>
      </c>
      <c r="F11" s="25" t="s">
        <v>215</v>
      </c>
      <c r="G11" s="25" t="s">
        <v>215</v>
      </c>
      <c r="H11" s="48" t="s">
        <v>52</v>
      </c>
      <c r="I11" s="48" t="s">
        <v>55</v>
      </c>
    </row>
    <row r="12" spans="1:9" ht="266.5" customHeight="1">
      <c r="A12" s="23" t="s">
        <v>242</v>
      </c>
      <c r="B12" s="25" t="s">
        <v>200</v>
      </c>
      <c r="C12" s="25" t="s">
        <v>198</v>
      </c>
      <c r="D12" s="25" t="s">
        <v>48</v>
      </c>
      <c r="E12" s="21" t="s">
        <v>201</v>
      </c>
      <c r="F12" s="25" t="s">
        <v>216</v>
      </c>
      <c r="G12" s="25" t="s">
        <v>216</v>
      </c>
      <c r="H12" s="48" t="s">
        <v>52</v>
      </c>
      <c r="I12" s="48" t="s">
        <v>55</v>
      </c>
    </row>
    <row r="13" spans="1:9" ht="288.5" customHeight="1">
      <c r="A13" s="23" t="s">
        <v>243</v>
      </c>
      <c r="B13" s="25" t="s">
        <v>202</v>
      </c>
      <c r="C13" s="25" t="s">
        <v>198</v>
      </c>
      <c r="D13" s="25" t="s">
        <v>48</v>
      </c>
      <c r="E13" s="21" t="s">
        <v>203</v>
      </c>
      <c r="F13" s="25" t="s">
        <v>217</v>
      </c>
      <c r="G13" s="25" t="s">
        <v>217</v>
      </c>
      <c r="H13" s="48" t="s">
        <v>52</v>
      </c>
      <c r="I13" s="48" t="s">
        <v>55</v>
      </c>
    </row>
    <row r="14" spans="1:9" ht="282.5" customHeight="1">
      <c r="A14" s="23" t="s">
        <v>244</v>
      </c>
      <c r="B14" s="25" t="s">
        <v>204</v>
      </c>
      <c r="C14" s="25" t="s">
        <v>206</v>
      </c>
      <c r="D14" s="25" t="s">
        <v>48</v>
      </c>
      <c r="E14" s="21" t="s">
        <v>205</v>
      </c>
      <c r="F14" s="25" t="s">
        <v>218</v>
      </c>
      <c r="G14" s="25" t="s">
        <v>218</v>
      </c>
      <c r="H14" s="48" t="s">
        <v>52</v>
      </c>
      <c r="I14" s="48" t="s">
        <v>55</v>
      </c>
    </row>
    <row r="15" spans="1:9" ht="290" customHeight="1">
      <c r="A15" s="23" t="s">
        <v>245</v>
      </c>
      <c r="B15" s="25" t="s">
        <v>207</v>
      </c>
      <c r="C15" s="25" t="s">
        <v>208</v>
      </c>
      <c r="D15" s="25" t="s">
        <v>48</v>
      </c>
      <c r="E15" s="21" t="s">
        <v>210</v>
      </c>
      <c r="F15" s="25" t="s">
        <v>219</v>
      </c>
      <c r="G15" s="10" t="s">
        <v>32</v>
      </c>
      <c r="H15" s="48" t="s">
        <v>51</v>
      </c>
      <c r="I15" s="48" t="s">
        <v>55</v>
      </c>
    </row>
    <row r="16" spans="1:9" ht="280" customHeight="1">
      <c r="A16" s="23" t="s">
        <v>246</v>
      </c>
      <c r="B16" s="25" t="s">
        <v>209</v>
      </c>
      <c r="C16" s="25" t="s">
        <v>208</v>
      </c>
      <c r="D16" s="25" t="s">
        <v>48</v>
      </c>
      <c r="E16" s="21" t="s">
        <v>211</v>
      </c>
      <c r="F16" s="25" t="s">
        <v>219</v>
      </c>
      <c r="G16" s="10" t="s">
        <v>32</v>
      </c>
      <c r="H16" s="48" t="s">
        <v>51</v>
      </c>
      <c r="I16" s="48" t="s">
        <v>55</v>
      </c>
    </row>
    <row r="17" spans="1:9" ht="281" customHeight="1">
      <c r="A17" s="23" t="s">
        <v>247</v>
      </c>
      <c r="B17" s="25" t="s">
        <v>212</v>
      </c>
      <c r="C17" s="25" t="s">
        <v>208</v>
      </c>
      <c r="D17" s="25" t="s">
        <v>48</v>
      </c>
      <c r="E17" s="21" t="s">
        <v>187</v>
      </c>
      <c r="F17" s="25" t="s">
        <v>219</v>
      </c>
      <c r="G17" s="10" t="s">
        <v>32</v>
      </c>
      <c r="H17" s="48" t="s">
        <v>51</v>
      </c>
      <c r="I17" s="48" t="s">
        <v>55</v>
      </c>
    </row>
    <row r="18" spans="1:9" ht="268.5" customHeight="1">
      <c r="A18" s="23" t="s">
        <v>248</v>
      </c>
      <c r="B18" s="25" t="s">
        <v>213</v>
      </c>
      <c r="C18" s="25" t="s">
        <v>208</v>
      </c>
      <c r="D18" s="25" t="s">
        <v>48</v>
      </c>
      <c r="E18" s="21" t="s">
        <v>214</v>
      </c>
      <c r="F18" s="25" t="s">
        <v>219</v>
      </c>
      <c r="G18" s="10" t="s">
        <v>32</v>
      </c>
      <c r="H18" s="48" t="s">
        <v>51</v>
      </c>
      <c r="I18" s="48" t="s">
        <v>55</v>
      </c>
    </row>
    <row r="19" spans="1:9" ht="27.5" customHeight="1">
      <c r="A19" s="13"/>
      <c r="I19" s="13"/>
    </row>
    <row r="20" spans="1:9" ht="31.5" customHeight="1">
      <c r="A20" s="13"/>
      <c r="I20" s="13"/>
    </row>
    <row r="21" spans="1:9" ht="32.5" customHeight="1">
      <c r="A21" s="13"/>
      <c r="I21" s="13"/>
    </row>
    <row r="22" spans="1:9" ht="27.5" customHeight="1">
      <c r="A22" s="13"/>
      <c r="I22" s="13"/>
    </row>
    <row r="23" spans="1:9" ht="27.5" customHeight="1">
      <c r="A23" s="13"/>
      <c r="I23" s="13"/>
    </row>
    <row r="24" spans="1:9" ht="27.5" customHeight="1">
      <c r="A24" s="13"/>
      <c r="I24" s="13"/>
    </row>
    <row r="25" spans="1:9" ht="27.5" customHeight="1">
      <c r="A25" s="13"/>
      <c r="I25" s="13"/>
    </row>
    <row r="26" spans="1:9" ht="27.5" customHeight="1">
      <c r="A26" s="13"/>
      <c r="I26" s="13"/>
    </row>
    <row r="27" spans="1:9" ht="27.5" customHeight="1">
      <c r="A27" s="13"/>
      <c r="I27" s="13"/>
    </row>
    <row r="28" spans="1:9" ht="27.5" customHeight="1">
      <c r="A28" s="13"/>
      <c r="I28" s="13"/>
    </row>
    <row r="29" spans="1:9" ht="27.5" customHeight="1">
      <c r="A29" s="13"/>
      <c r="I29" s="13"/>
    </row>
    <row r="30" spans="1:9" ht="27.5" customHeight="1">
      <c r="A30" s="13"/>
      <c r="I30" s="13"/>
    </row>
    <row r="31" spans="1:9" ht="27.5" customHeight="1">
      <c r="A31" s="13"/>
      <c r="I31" s="13"/>
    </row>
    <row r="32" spans="1:9" ht="27.5" customHeight="1">
      <c r="A32" s="13"/>
      <c r="I32" s="13"/>
    </row>
    <row r="33" spans="1:9" ht="27.5" customHeight="1">
      <c r="A33" s="13"/>
      <c r="I33" s="13"/>
    </row>
    <row r="34" spans="1:9" ht="27.5" customHeight="1">
      <c r="A34" s="13"/>
      <c r="I34" s="13"/>
    </row>
    <row r="35" spans="1:9" ht="27.5" customHeight="1">
      <c r="A35" s="13"/>
      <c r="I35" s="13"/>
    </row>
    <row r="36" spans="1:9" ht="27.5" customHeight="1">
      <c r="A36" s="13"/>
      <c r="I36" s="13"/>
    </row>
    <row r="37" spans="1:9" ht="27.5" customHeight="1">
      <c r="A37" s="13"/>
      <c r="I37" s="13"/>
    </row>
    <row r="38" spans="1:9" ht="27.5" customHeight="1">
      <c r="A38" s="13"/>
      <c r="I38" s="13"/>
    </row>
    <row r="39" spans="1:9" ht="27.5" customHeight="1">
      <c r="A39" s="13"/>
      <c r="I39" s="13"/>
    </row>
    <row r="40" spans="1:9" ht="27.5" customHeight="1">
      <c r="A40" s="13"/>
      <c r="I40" s="13"/>
    </row>
    <row r="41" spans="1:9" ht="27.5" customHeight="1">
      <c r="A41" s="13"/>
      <c r="I41" s="13"/>
    </row>
    <row r="42" spans="1:9" ht="27.5" customHeight="1">
      <c r="A42" s="13"/>
      <c r="I42" s="13"/>
    </row>
    <row r="43" spans="1:9" ht="27.5" customHeight="1">
      <c r="A43" s="13"/>
      <c r="I43" s="13"/>
    </row>
    <row r="44" spans="1:9" ht="27.5" customHeight="1">
      <c r="A44" s="13"/>
      <c r="I44" s="13"/>
    </row>
    <row r="45" spans="1:9" ht="27.5" customHeight="1">
      <c r="A45" s="13"/>
      <c r="I45" s="13"/>
    </row>
    <row r="46" spans="1:9" ht="27.5" customHeight="1">
      <c r="A46" s="13"/>
      <c r="I46" s="13"/>
    </row>
    <row r="47" spans="1:9" ht="27.5" customHeight="1">
      <c r="A47" s="13"/>
      <c r="I47" s="13"/>
    </row>
    <row r="48" spans="1:9" ht="27.5" customHeight="1">
      <c r="A48" s="13"/>
      <c r="I48" s="13"/>
    </row>
  </sheetData>
  <phoneticPr fontId="12" type="noConversion"/>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26" operator="containsText" id="{CB9A6FB6-FAB9-411A-A293-3EC5B790E827}">
            <xm:f>NOT(ISERROR(SEARCH(Chung!$K$20,H5)))</xm:f>
            <xm:f>Chung!$K$20</xm:f>
            <x14:dxf>
              <fill>
                <patternFill>
                  <bgColor rgb="FFFF7C80"/>
                </patternFill>
              </fill>
            </x14:dxf>
          </x14:cfRule>
          <x14:cfRule type="containsText" priority="27" operator="containsText" id="{38317E70-E360-4E81-9612-401AA3840913}">
            <xm:f>NOT(ISERROR(SEARCH(Chung!$K$19,H5)))</xm:f>
            <xm:f>Chung!$K$19</xm:f>
            <x14:dxf>
              <fill>
                <patternFill>
                  <bgColor theme="9" tint="0.39994506668294322"/>
                </patternFill>
              </fill>
            </x14:dxf>
          </x14:cfRule>
          <xm:sqref>H5:H18</xm:sqref>
        </x14:conditionalFormatting>
        <x14:conditionalFormatting xmlns:xm="http://schemas.microsoft.com/office/excel/2006/main">
          <x14:cfRule type="containsText" priority="28" operator="containsText" id="{7E6DFF63-4CC4-4CA4-83AF-CE3DC9588243}">
            <xm:f>NOT(ISERROR(SEARCH(Chung!$L$20,I5)))</xm:f>
            <xm:f>Chung!$L$20</xm:f>
            <x14:dxf>
              <fill>
                <patternFill>
                  <bgColor theme="2" tint="-9.9948118533890809E-2"/>
                </patternFill>
              </fill>
            </x14:dxf>
          </x14:cfRule>
          <x14:cfRule type="containsText" priority="29" operator="containsText" id="{EB2E0EB0-B10D-4E61-B09D-9B5BD4ADC7B3}">
            <xm:f>NOT(ISERROR(SEARCH(Chung!$L$19,I5)))</xm:f>
            <xm:f>Chung!$L$19</xm:f>
            <x14:dxf>
              <fill>
                <patternFill>
                  <bgColor theme="7" tint="0.59996337778862885"/>
                </patternFill>
              </fill>
            </x14:dxf>
          </x14:cfRule>
          <xm:sqref>I5:I18</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Chung!$K$19:$K$20</xm:f>
          </x14:formula1>
          <xm:sqref>H5:H18</xm:sqref>
        </x14:dataValidation>
        <x14:dataValidation type="list" allowBlank="1" showInputMessage="1" showErrorMessage="1">
          <x14:formula1>
            <xm:f>Chung!$L$19:$L$20</xm:f>
          </x14:formula1>
          <xm:sqref>I5:I18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K38"/>
  <sheetViews>
    <sheetView topLeftCell="A12" zoomScale="40" zoomScaleNormal="40" workbookViewId="0">
      <selection activeCell="H14" sqref="H14"/>
    </sheetView>
  </sheetViews>
  <sheetFormatPr defaultColWidth="8.90625" defaultRowHeight="16.5"/>
  <cols>
    <col min="1" max="1" width="17.36328125" style="42" customWidth="1"/>
    <col min="2" max="2" width="23.54296875" style="44" customWidth="1"/>
    <col min="3" max="3" width="38.90625" style="44" customWidth="1"/>
    <col min="4" max="4" width="24.54296875" style="44" customWidth="1"/>
    <col min="5" max="5" width="41.1796875" style="44" customWidth="1"/>
    <col min="6" max="6" width="30.90625" style="44" customWidth="1"/>
    <col min="7" max="7" width="31.6328125" style="44" customWidth="1"/>
    <col min="8" max="8" width="11.453125" style="45" customWidth="1"/>
    <col min="9" max="9" width="9.6328125" style="42" customWidth="1"/>
    <col min="10" max="16384" width="8.90625" style="44"/>
  </cols>
  <sheetData>
    <row r="1" spans="1:11" s="34" customFormat="1" ht="46" customHeight="1">
      <c r="A1" s="30" t="s">
        <v>9</v>
      </c>
      <c r="B1" s="30" t="s">
        <v>10</v>
      </c>
      <c r="C1" s="30"/>
      <c r="D1" s="31" t="e">
        <f>"Pass: "&amp;COUNTIF(#REF!,"Pass")</f>
        <v>#REF!</v>
      </c>
      <c r="E1" s="32" t="e">
        <f>"Untested: "&amp;COUNTIF(#REF!,"Untest")</f>
        <v>#REF!</v>
      </c>
      <c r="F1" s="33"/>
      <c r="I1" s="56"/>
    </row>
    <row r="2" spans="1:11" s="34" customFormat="1" ht="28" customHeight="1">
      <c r="A2" s="35" t="s">
        <v>11</v>
      </c>
      <c r="B2" s="36" t="s">
        <v>12</v>
      </c>
      <c r="C2" s="36"/>
      <c r="D2" s="31" t="e">
        <f>"Fail: "&amp;COUNTIF(#REF!,"Fail")</f>
        <v>#REF!</v>
      </c>
      <c r="E2" s="32" t="e">
        <f>"N/A: "&amp;COUNTIF(#REF!,"N/A")</f>
        <v>#REF!</v>
      </c>
      <c r="F2" s="33"/>
      <c r="I2" s="56"/>
    </row>
    <row r="3" spans="1:11" s="34" customFormat="1" ht="28" customHeight="1">
      <c r="A3" s="35" t="s">
        <v>13</v>
      </c>
      <c r="B3" s="35" t="s">
        <v>29</v>
      </c>
      <c r="C3" s="35"/>
      <c r="D3" s="31" t="e">
        <f>"Percent Complete: "&amp;ROUND((COUNTIF(#REF!,"Pass")*100)/((COUNTA($A$5:$A$957)*5)-COUNTIF(#REF!,"N/A")),2)&amp;"%"</f>
        <v>#REF!</v>
      </c>
      <c r="E3" s="37" t="str">
        <f>"Number of cases: "&amp;(COUNTA($A$5:$A$957))</f>
        <v>Number of cases: 9</v>
      </c>
      <c r="F3" s="38"/>
      <c r="I3" s="56"/>
    </row>
    <row r="4" spans="1:11" s="42" customFormat="1" ht="42" customHeight="1">
      <c r="A4" s="51" t="s">
        <v>14</v>
      </c>
      <c r="B4" s="39" t="s">
        <v>15</v>
      </c>
      <c r="C4" s="39" t="s">
        <v>16</v>
      </c>
      <c r="D4" s="39" t="s">
        <v>17</v>
      </c>
      <c r="E4" s="40" t="s">
        <v>18</v>
      </c>
      <c r="F4" s="39" t="s">
        <v>19</v>
      </c>
      <c r="G4" s="39" t="s">
        <v>20</v>
      </c>
      <c r="H4" s="41" t="s">
        <v>21</v>
      </c>
      <c r="I4" s="52" t="s">
        <v>22</v>
      </c>
    </row>
    <row r="5" spans="1:11" ht="330.5" customHeight="1">
      <c r="A5" s="48" t="s">
        <v>282</v>
      </c>
      <c r="B5" s="48" t="s">
        <v>291</v>
      </c>
      <c r="C5" s="50" t="s">
        <v>292</v>
      </c>
      <c r="D5" s="50" t="s">
        <v>293</v>
      </c>
      <c r="E5" s="43" t="s">
        <v>294</v>
      </c>
      <c r="F5" s="43" t="s">
        <v>297</v>
      </c>
      <c r="G5" s="43" t="s">
        <v>297</v>
      </c>
      <c r="H5" s="48" t="s">
        <v>52</v>
      </c>
      <c r="I5" s="48" t="s">
        <v>55</v>
      </c>
    </row>
    <row r="6" spans="1:11" ht="330.5" customHeight="1">
      <c r="A6" s="48" t="s">
        <v>283</v>
      </c>
      <c r="B6" s="48" t="s">
        <v>298</v>
      </c>
      <c r="C6" s="50" t="s">
        <v>292</v>
      </c>
      <c r="D6" s="50" t="s">
        <v>293</v>
      </c>
      <c r="E6" s="43" t="s">
        <v>295</v>
      </c>
      <c r="F6" s="43" t="s">
        <v>296</v>
      </c>
      <c r="G6" s="43" t="s">
        <v>296</v>
      </c>
      <c r="H6" s="48" t="s">
        <v>52</v>
      </c>
      <c r="I6" s="48" t="s">
        <v>55</v>
      </c>
    </row>
    <row r="7" spans="1:11" ht="330.5" customHeight="1">
      <c r="A7" s="48" t="s">
        <v>284</v>
      </c>
      <c r="B7" s="48" t="s">
        <v>299</v>
      </c>
      <c r="C7" s="50" t="s">
        <v>292</v>
      </c>
      <c r="D7" s="50" t="s">
        <v>293</v>
      </c>
      <c r="E7" s="43" t="s">
        <v>300</v>
      </c>
      <c r="F7" s="43" t="s">
        <v>296</v>
      </c>
      <c r="G7" s="43" t="s">
        <v>296</v>
      </c>
      <c r="H7" s="48" t="s">
        <v>52</v>
      </c>
      <c r="I7" s="48" t="s">
        <v>55</v>
      </c>
    </row>
    <row r="8" spans="1:11" ht="330.5" customHeight="1">
      <c r="A8" s="48" t="s">
        <v>285</v>
      </c>
      <c r="B8" s="48" t="s">
        <v>301</v>
      </c>
      <c r="C8" s="50" t="s">
        <v>292</v>
      </c>
      <c r="D8" s="50" t="s">
        <v>293</v>
      </c>
      <c r="E8" s="43" t="s">
        <v>302</v>
      </c>
      <c r="F8" s="43" t="s">
        <v>296</v>
      </c>
      <c r="G8" s="43" t="s">
        <v>297</v>
      </c>
      <c r="H8" s="48" t="s">
        <v>51</v>
      </c>
      <c r="I8" s="48" t="s">
        <v>55</v>
      </c>
    </row>
    <row r="9" spans="1:11" s="46" customFormat="1" ht="330.5" customHeight="1">
      <c r="A9" s="48" t="s">
        <v>286</v>
      </c>
      <c r="B9" s="48" t="s">
        <v>303</v>
      </c>
      <c r="C9" s="50" t="s">
        <v>292</v>
      </c>
      <c r="D9" s="50" t="s">
        <v>293</v>
      </c>
      <c r="E9" s="43" t="s">
        <v>304</v>
      </c>
      <c r="F9" s="43" t="s">
        <v>296</v>
      </c>
      <c r="G9" s="43" t="s">
        <v>296</v>
      </c>
      <c r="H9" s="48" t="s">
        <v>52</v>
      </c>
      <c r="I9" s="48" t="s">
        <v>55</v>
      </c>
    </row>
    <row r="10" spans="1:11" s="46" customFormat="1" ht="330.5" customHeight="1">
      <c r="A10" s="48" t="s">
        <v>287</v>
      </c>
      <c r="B10" s="48" t="s">
        <v>305</v>
      </c>
      <c r="C10" s="50" t="s">
        <v>292</v>
      </c>
      <c r="D10" s="50" t="s">
        <v>293</v>
      </c>
      <c r="E10" s="43" t="s">
        <v>306</v>
      </c>
      <c r="F10" s="43" t="s">
        <v>307</v>
      </c>
      <c r="G10" s="43" t="s">
        <v>297</v>
      </c>
      <c r="H10" s="48" t="s">
        <v>51</v>
      </c>
      <c r="I10" s="48" t="s">
        <v>55</v>
      </c>
    </row>
    <row r="11" spans="1:11" s="46" customFormat="1" ht="330.5" customHeight="1">
      <c r="A11" s="48" t="s">
        <v>288</v>
      </c>
      <c r="B11" s="48" t="s">
        <v>308</v>
      </c>
      <c r="C11" s="50" t="s">
        <v>292</v>
      </c>
      <c r="D11" s="50" t="s">
        <v>293</v>
      </c>
      <c r="E11" s="43" t="s">
        <v>309</v>
      </c>
      <c r="F11" s="43" t="s">
        <v>307</v>
      </c>
      <c r="G11" s="43" t="s">
        <v>297</v>
      </c>
      <c r="H11" s="48" t="s">
        <v>51</v>
      </c>
      <c r="I11" s="48" t="s">
        <v>55</v>
      </c>
    </row>
    <row r="12" spans="1:11" s="46" customFormat="1" ht="330.5" customHeight="1">
      <c r="A12" s="48" t="s">
        <v>289</v>
      </c>
      <c r="B12" s="48" t="s">
        <v>310</v>
      </c>
      <c r="C12" s="50" t="s">
        <v>292</v>
      </c>
      <c r="D12" s="50" t="s">
        <v>293</v>
      </c>
      <c r="E12" s="43" t="s">
        <v>311</v>
      </c>
      <c r="F12" s="43" t="s">
        <v>307</v>
      </c>
      <c r="G12" s="43" t="s">
        <v>297</v>
      </c>
      <c r="H12" s="48" t="s">
        <v>51</v>
      </c>
      <c r="I12" s="48" t="s">
        <v>55</v>
      </c>
    </row>
    <row r="13" spans="1:11" s="46" customFormat="1" ht="330.5" customHeight="1">
      <c r="A13" s="48" t="s">
        <v>290</v>
      </c>
      <c r="B13" s="48" t="s">
        <v>312</v>
      </c>
      <c r="C13" s="50" t="s">
        <v>292</v>
      </c>
      <c r="D13" s="50" t="s">
        <v>293</v>
      </c>
      <c r="E13" s="43" t="s">
        <v>313</v>
      </c>
      <c r="F13" s="43" t="s">
        <v>307</v>
      </c>
      <c r="G13" s="43" t="s">
        <v>297</v>
      </c>
      <c r="H13" s="48" t="s">
        <v>51</v>
      </c>
      <c r="I13" s="48" t="s">
        <v>55</v>
      </c>
      <c r="J13" s="82"/>
      <c r="K13" s="82"/>
    </row>
    <row r="14" spans="1:11" s="46" customFormat="1">
      <c r="A14" s="75"/>
      <c r="B14" s="75"/>
      <c r="C14" s="77"/>
      <c r="D14" s="78"/>
      <c r="E14" s="79"/>
      <c r="F14" s="80"/>
      <c r="G14" s="80"/>
      <c r="H14" s="75"/>
      <c r="I14" s="75"/>
      <c r="J14" s="82"/>
      <c r="K14" s="82"/>
    </row>
    <row r="15" spans="1:11" s="46" customFormat="1">
      <c r="A15" s="75"/>
      <c r="B15" s="75"/>
      <c r="C15" s="77"/>
      <c r="D15" s="78"/>
      <c r="E15" s="79"/>
      <c r="F15" s="80"/>
      <c r="G15" s="80"/>
      <c r="H15" s="75"/>
      <c r="I15" s="75"/>
      <c r="J15" s="82"/>
      <c r="K15" s="82"/>
    </row>
    <row r="16" spans="1:11" s="46" customFormat="1">
      <c r="A16" s="75"/>
      <c r="B16" s="75"/>
      <c r="C16" s="77"/>
      <c r="D16" s="78"/>
      <c r="E16" s="79"/>
      <c r="F16" s="80"/>
      <c r="G16" s="80"/>
      <c r="H16" s="75"/>
      <c r="I16" s="75"/>
      <c r="J16" s="82"/>
      <c r="K16" s="82"/>
    </row>
    <row r="17" spans="1:9" s="46" customFormat="1">
      <c r="A17" s="75"/>
      <c r="B17" s="75"/>
      <c r="C17" s="77"/>
      <c r="D17" s="78"/>
      <c r="E17" s="79"/>
      <c r="F17" s="80"/>
      <c r="G17" s="80"/>
      <c r="H17" s="75"/>
      <c r="I17" s="75"/>
    </row>
    <row r="18" spans="1:9" s="46" customFormat="1">
      <c r="A18" s="75"/>
      <c r="B18" s="75"/>
      <c r="C18" s="77"/>
      <c r="D18" s="78"/>
      <c r="E18" s="79"/>
      <c r="F18" s="80"/>
      <c r="G18" s="80"/>
      <c r="H18" s="75"/>
      <c r="I18" s="75"/>
    </row>
    <row r="19" spans="1:9" ht="16.5" customHeight="1">
      <c r="A19" s="75"/>
      <c r="B19" s="81"/>
      <c r="C19" s="77"/>
      <c r="D19" s="77"/>
      <c r="E19" s="79"/>
      <c r="F19" s="79"/>
      <c r="G19" s="79"/>
      <c r="H19" s="75"/>
      <c r="I19" s="75"/>
    </row>
    <row r="20" spans="1:9">
      <c r="A20" s="49"/>
      <c r="B20" s="53"/>
      <c r="C20" s="53"/>
      <c r="D20" s="53"/>
      <c r="E20" s="53"/>
      <c r="F20" s="53"/>
      <c r="G20" s="53"/>
      <c r="I20" s="49"/>
    </row>
    <row r="21" spans="1:9">
      <c r="A21" s="49"/>
      <c r="B21" s="53"/>
      <c r="C21" s="53"/>
      <c r="D21" s="53"/>
      <c r="E21" s="53"/>
      <c r="F21" s="53"/>
      <c r="G21" s="53"/>
      <c r="I21" s="49"/>
    </row>
    <row r="22" spans="1:9">
      <c r="A22" s="49"/>
      <c r="B22" s="53"/>
      <c r="C22" s="53"/>
      <c r="D22" s="53"/>
      <c r="E22" s="53"/>
      <c r="F22" s="53"/>
      <c r="G22" s="53"/>
      <c r="I22" s="49"/>
    </row>
    <row r="23" spans="1:9">
      <c r="A23" s="49"/>
      <c r="B23" s="53"/>
      <c r="C23" s="53"/>
      <c r="D23" s="53"/>
      <c r="E23" s="53"/>
      <c r="F23" s="53"/>
      <c r="G23" s="53"/>
      <c r="I23" s="49"/>
    </row>
    <row r="24" spans="1:9">
      <c r="A24" s="49"/>
      <c r="B24" s="53"/>
      <c r="C24" s="53"/>
      <c r="D24" s="53"/>
      <c r="E24" s="53"/>
      <c r="F24" s="53"/>
      <c r="G24" s="53"/>
      <c r="I24" s="49"/>
    </row>
    <row r="25" spans="1:9">
      <c r="A25" s="49"/>
      <c r="B25" s="53"/>
      <c r="C25" s="53"/>
      <c r="D25" s="53"/>
      <c r="E25" s="53"/>
      <c r="F25" s="53"/>
      <c r="G25" s="53"/>
      <c r="I25" s="49"/>
    </row>
    <row r="26" spans="1:9">
      <c r="A26" s="49"/>
      <c r="B26" s="53"/>
      <c r="C26" s="53"/>
      <c r="D26" s="53"/>
      <c r="E26" s="53"/>
      <c r="F26" s="53"/>
      <c r="G26" s="53"/>
      <c r="I26" s="49"/>
    </row>
    <row r="27" spans="1:9">
      <c r="A27" s="49"/>
      <c r="B27" s="53"/>
      <c r="C27" s="53"/>
      <c r="D27" s="53"/>
      <c r="E27" s="53"/>
      <c r="F27" s="53"/>
      <c r="G27" s="53"/>
      <c r="I27" s="49"/>
    </row>
    <row r="28" spans="1:9">
      <c r="A28" s="49"/>
      <c r="B28" s="53"/>
      <c r="C28" s="53"/>
      <c r="D28" s="53"/>
      <c r="E28" s="53"/>
      <c r="F28" s="53"/>
      <c r="G28" s="53"/>
      <c r="I28" s="49"/>
    </row>
    <row r="29" spans="1:9">
      <c r="A29" s="47"/>
      <c r="B29" s="46"/>
      <c r="C29" s="46"/>
      <c r="D29" s="46"/>
      <c r="E29" s="46"/>
      <c r="F29" s="46"/>
      <c r="G29" s="46"/>
      <c r="I29" s="47"/>
    </row>
    <row r="30" spans="1:9">
      <c r="A30" s="47"/>
      <c r="B30" s="46"/>
      <c r="C30" s="46"/>
      <c r="D30" s="46"/>
      <c r="E30" s="46"/>
      <c r="F30" s="46"/>
      <c r="G30" s="46"/>
      <c r="I30" s="47"/>
    </row>
    <row r="31" spans="1:9">
      <c r="A31" s="47"/>
      <c r="B31" s="46"/>
      <c r="C31" s="46"/>
      <c r="D31" s="46"/>
      <c r="E31" s="46"/>
      <c r="F31" s="46"/>
      <c r="G31" s="46"/>
      <c r="I31" s="47"/>
    </row>
    <row r="32" spans="1:9">
      <c r="A32" s="47"/>
      <c r="B32" s="46"/>
      <c r="C32" s="46"/>
      <c r="D32" s="46"/>
      <c r="E32" s="46"/>
      <c r="F32" s="46"/>
      <c r="G32" s="46"/>
      <c r="I32" s="47"/>
    </row>
    <row r="33" spans="1:9">
      <c r="A33" s="47"/>
      <c r="B33" s="46"/>
      <c r="C33" s="46"/>
      <c r="D33" s="46"/>
      <c r="E33" s="46"/>
      <c r="F33" s="46"/>
      <c r="G33" s="46"/>
      <c r="I33" s="47"/>
    </row>
    <row r="34" spans="1:9">
      <c r="A34" s="47"/>
      <c r="B34" s="46"/>
      <c r="C34" s="46"/>
      <c r="D34" s="46"/>
      <c r="E34" s="46"/>
      <c r="F34" s="46"/>
      <c r="G34" s="46"/>
      <c r="I34" s="47"/>
    </row>
    <row r="35" spans="1:9">
      <c r="A35" s="47"/>
      <c r="B35" s="46"/>
      <c r="C35" s="46"/>
      <c r="D35" s="46"/>
      <c r="E35" s="46"/>
      <c r="F35" s="46"/>
      <c r="G35" s="46"/>
      <c r="I35" s="47"/>
    </row>
    <row r="36" spans="1:9">
      <c r="A36" s="47"/>
      <c r="B36" s="46"/>
      <c r="C36" s="46"/>
      <c r="D36" s="46"/>
      <c r="E36" s="46"/>
      <c r="F36" s="46"/>
      <c r="G36" s="46"/>
      <c r="I36" s="47"/>
    </row>
    <row r="37" spans="1:9">
      <c r="A37" s="47"/>
      <c r="B37" s="46"/>
      <c r="C37" s="46"/>
      <c r="D37" s="46"/>
      <c r="E37" s="46"/>
      <c r="F37" s="46"/>
      <c r="G37" s="46"/>
      <c r="I37" s="47"/>
    </row>
    <row r="38" spans="1:9">
      <c r="A38" s="47"/>
      <c r="B38" s="46"/>
      <c r="C38" s="46"/>
      <c r="D38" s="46"/>
      <c r="E38" s="46"/>
      <c r="F38" s="46"/>
      <c r="G38" s="46"/>
      <c r="I38" s="47"/>
    </row>
  </sheetData>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1" operator="containsText" id="{39F2EF52-828C-4357-9BB3-67B39B3DDF81}">
            <xm:f>NOT(ISERROR(SEARCH(Chung!$K$20,H5)))</xm:f>
            <xm:f>Chung!$K$20</xm:f>
            <x14:dxf>
              <fill>
                <patternFill>
                  <bgColor rgb="FFFF7C80"/>
                </patternFill>
              </fill>
            </x14:dxf>
          </x14:cfRule>
          <x14:cfRule type="containsText" priority="2" operator="containsText" id="{29FD8162-AE07-476C-A341-F405FE9F5C1A}">
            <xm:f>NOT(ISERROR(SEARCH(Chung!$K$19,H5)))</xm:f>
            <xm:f>Chung!$K$19</xm:f>
            <x14:dxf>
              <fill>
                <patternFill>
                  <bgColor theme="9" tint="0.39994506668294322"/>
                </patternFill>
              </fill>
            </x14:dxf>
          </x14:cfRule>
          <xm:sqref>H5:H19</xm:sqref>
        </x14:conditionalFormatting>
        <x14:conditionalFormatting xmlns:xm="http://schemas.microsoft.com/office/excel/2006/main">
          <x14:cfRule type="containsText" priority="3" operator="containsText" id="{3DFF97A9-37A6-495C-8B6A-809A49B54993}">
            <xm:f>NOT(ISERROR(SEARCH(Chung!$L$20,I5)))</xm:f>
            <xm:f>Chung!$L$20</xm:f>
            <x14:dxf>
              <fill>
                <patternFill>
                  <bgColor theme="2" tint="-9.9948118533890809E-2"/>
                </patternFill>
              </fill>
            </x14:dxf>
          </x14:cfRule>
          <x14:cfRule type="containsText" priority="4" operator="containsText" id="{72EED55F-270B-4255-A492-C139D3095459}">
            <xm:f>NOT(ISERROR(SEARCH(Chung!$L$19,I5)))</xm:f>
            <xm:f>Chung!$L$19</xm:f>
            <x14:dxf>
              <fill>
                <patternFill>
                  <bgColor theme="7" tint="0.59996337778862885"/>
                </patternFill>
              </fill>
            </x14:dxf>
          </x14:cfRule>
          <xm:sqref>I5:I19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Chung!$L$19:$L$20</xm:f>
          </x14:formula1>
          <xm:sqref>I5:I19</xm:sqref>
        </x14:dataValidation>
        <x14:dataValidation type="list" allowBlank="1" showInputMessage="1" showErrorMessage="1">
          <x14:formula1>
            <xm:f>Chung!$K$19:$K$20</xm:f>
          </x14:formula1>
          <xm:sqref>H5:H19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47"/>
  <sheetViews>
    <sheetView tabSelected="1" topLeftCell="A15" zoomScale="25" zoomScaleNormal="25" workbookViewId="0">
      <selection activeCell="A17" sqref="A17:G17"/>
    </sheetView>
  </sheetViews>
  <sheetFormatPr defaultColWidth="8.90625" defaultRowHeight="16.5"/>
  <cols>
    <col min="1" max="1" width="22.26953125" style="15" customWidth="1"/>
    <col min="2" max="2" width="24.26953125" style="13" customWidth="1"/>
    <col min="3" max="3" width="23.90625" style="13" customWidth="1"/>
    <col min="4" max="4" width="35.81640625" style="13" customWidth="1"/>
    <col min="5" max="5" width="34.54296875" style="98" customWidth="1"/>
    <col min="6" max="6" width="25" style="13" customWidth="1"/>
    <col min="7" max="7" width="24.08984375" style="13" customWidth="1"/>
    <col min="8" max="8" width="8.90625" style="13"/>
    <col min="9" max="9" width="11.7265625" style="15" customWidth="1"/>
    <col min="10" max="16384" width="8.90625" style="13"/>
  </cols>
  <sheetData>
    <row r="1" spans="1:9" s="1" customFormat="1" ht="46" customHeight="1">
      <c r="A1" s="2" t="s">
        <v>9</v>
      </c>
      <c r="B1" s="2" t="s">
        <v>10</v>
      </c>
      <c r="C1" s="2"/>
      <c r="D1" s="3" t="e">
        <f>"Pass: "&amp;COUNTIF(#REF!,"Pass")</f>
        <v>#REF!</v>
      </c>
      <c r="E1" s="95" t="e">
        <f>"Untested: "&amp;COUNTIF(#REF!,"Untest")</f>
        <v>#REF!</v>
      </c>
      <c r="F1" s="5"/>
      <c r="I1" s="17"/>
    </row>
    <row r="2" spans="1:9" s="1" customFormat="1" ht="28" customHeight="1">
      <c r="A2" s="6" t="s">
        <v>11</v>
      </c>
      <c r="B2" s="7" t="s">
        <v>12</v>
      </c>
      <c r="C2" s="7"/>
      <c r="D2" s="3" t="e">
        <f>"Fail: "&amp;COUNTIF(#REF!,"Fail")</f>
        <v>#REF!</v>
      </c>
      <c r="E2" s="95" t="e">
        <f>"N/A: "&amp;COUNTIF(#REF!,"N/A")</f>
        <v>#REF!</v>
      </c>
      <c r="F2" s="5"/>
      <c r="I2" s="17"/>
    </row>
    <row r="3" spans="1:9" s="1" customFormat="1" ht="28" customHeight="1">
      <c r="A3" s="6" t="s">
        <v>13</v>
      </c>
      <c r="B3" s="6" t="s">
        <v>29</v>
      </c>
      <c r="C3" s="6"/>
      <c r="D3" s="3" t="e">
        <f>"Percent Complete: "&amp;ROUND((COUNTIF(#REF!,"Pass")*100)/((COUNTA($A$5:$A$871)*5)-COUNTIF(#REF!,"N/A")),2)&amp;"%"</f>
        <v>#REF!</v>
      </c>
      <c r="E3" s="96" t="str">
        <f>"Number of cases: "&amp;(COUNTA($A$5:$A$871))</f>
        <v>Number of cases: 13</v>
      </c>
      <c r="F3" s="9"/>
      <c r="I3" s="17"/>
    </row>
    <row r="4" spans="1:9" s="15" customFormat="1" ht="33.65" customHeight="1">
      <c r="A4" s="16" t="s">
        <v>14</v>
      </c>
      <c r="B4" s="11" t="s">
        <v>15</v>
      </c>
      <c r="C4" s="11" t="s">
        <v>16</v>
      </c>
      <c r="D4" s="11" t="s">
        <v>17</v>
      </c>
      <c r="E4" s="97" t="s">
        <v>18</v>
      </c>
      <c r="F4" s="11" t="s">
        <v>19</v>
      </c>
      <c r="G4" s="11" t="s">
        <v>20</v>
      </c>
      <c r="H4" s="11" t="s">
        <v>21</v>
      </c>
      <c r="I4" s="29" t="s">
        <v>22</v>
      </c>
    </row>
    <row r="5" spans="1:9" ht="252.5" customHeight="1">
      <c r="A5" s="23" t="s">
        <v>222</v>
      </c>
      <c r="B5" s="25" t="s">
        <v>249</v>
      </c>
      <c r="C5" s="25" t="s">
        <v>250</v>
      </c>
      <c r="D5" s="25" t="s">
        <v>251</v>
      </c>
      <c r="E5" s="25" t="s">
        <v>252</v>
      </c>
      <c r="F5" s="25" t="s">
        <v>254</v>
      </c>
      <c r="G5" s="25" t="s">
        <v>254</v>
      </c>
      <c r="H5" s="48" t="s">
        <v>52</v>
      </c>
      <c r="I5" s="48" t="s">
        <v>55</v>
      </c>
    </row>
    <row r="6" spans="1:9" ht="240" customHeight="1">
      <c r="A6" s="23" t="s">
        <v>223</v>
      </c>
      <c r="B6" s="25" t="s">
        <v>261</v>
      </c>
      <c r="C6" s="25" t="s">
        <v>250</v>
      </c>
      <c r="D6" s="25" t="s">
        <v>251</v>
      </c>
      <c r="E6" s="25" t="s">
        <v>258</v>
      </c>
      <c r="F6" s="25" t="s">
        <v>253</v>
      </c>
      <c r="G6" s="25" t="s">
        <v>253</v>
      </c>
      <c r="H6" s="48" t="s">
        <v>52</v>
      </c>
      <c r="I6" s="48" t="s">
        <v>55</v>
      </c>
    </row>
    <row r="7" spans="1:9" ht="233.5" customHeight="1">
      <c r="A7" s="23" t="s">
        <v>224</v>
      </c>
      <c r="B7" s="25" t="s">
        <v>262</v>
      </c>
      <c r="C7" s="25" t="s">
        <v>250</v>
      </c>
      <c r="D7" s="25" t="s">
        <v>251</v>
      </c>
      <c r="E7" s="25" t="s">
        <v>257</v>
      </c>
      <c r="F7" s="25" t="s">
        <v>253</v>
      </c>
      <c r="G7" s="25" t="s">
        <v>253</v>
      </c>
      <c r="H7" s="48" t="s">
        <v>52</v>
      </c>
      <c r="I7" s="48" t="s">
        <v>55</v>
      </c>
    </row>
    <row r="8" spans="1:9" ht="274" customHeight="1">
      <c r="A8" s="23" t="s">
        <v>225</v>
      </c>
      <c r="B8" s="25" t="s">
        <v>263</v>
      </c>
      <c r="C8" s="25" t="s">
        <v>250</v>
      </c>
      <c r="D8" s="25" t="s">
        <v>251</v>
      </c>
      <c r="E8" s="25" t="s">
        <v>256</v>
      </c>
      <c r="F8" s="25" t="s">
        <v>253</v>
      </c>
      <c r="G8" s="25" t="s">
        <v>253</v>
      </c>
      <c r="H8" s="48" t="s">
        <v>52</v>
      </c>
      <c r="I8" s="48" t="s">
        <v>55</v>
      </c>
    </row>
    <row r="9" spans="1:9" ht="274" customHeight="1">
      <c r="A9" s="23" t="s">
        <v>226</v>
      </c>
      <c r="B9" s="25" t="s">
        <v>264</v>
      </c>
      <c r="C9" s="25" t="s">
        <v>250</v>
      </c>
      <c r="D9" s="25" t="s">
        <v>251</v>
      </c>
      <c r="E9" s="25" t="s">
        <v>259</v>
      </c>
      <c r="F9" s="25" t="s">
        <v>253</v>
      </c>
      <c r="G9" s="25" t="s">
        <v>253</v>
      </c>
      <c r="H9" s="48" t="s">
        <v>52</v>
      </c>
      <c r="I9" s="48" t="s">
        <v>55</v>
      </c>
    </row>
    <row r="10" spans="1:9" ht="275.5" customHeight="1">
      <c r="A10" s="23" t="s">
        <v>227</v>
      </c>
      <c r="B10" s="25" t="s">
        <v>265</v>
      </c>
      <c r="C10" s="25" t="s">
        <v>250</v>
      </c>
      <c r="D10" s="25" t="s">
        <v>251</v>
      </c>
      <c r="E10" s="25" t="s">
        <v>260</v>
      </c>
      <c r="F10" s="25" t="s">
        <v>253</v>
      </c>
      <c r="G10" s="25" t="s">
        <v>253</v>
      </c>
      <c r="H10" s="48" t="s">
        <v>52</v>
      </c>
      <c r="I10" s="48" t="s">
        <v>55</v>
      </c>
    </row>
    <row r="11" spans="1:9" ht="278" customHeight="1">
      <c r="A11" s="23" t="s">
        <v>228</v>
      </c>
      <c r="B11" s="25" t="s">
        <v>266</v>
      </c>
      <c r="C11" s="25" t="s">
        <v>250</v>
      </c>
      <c r="D11" s="25" t="s">
        <v>251</v>
      </c>
      <c r="E11" s="25" t="s">
        <v>255</v>
      </c>
      <c r="F11" s="25" t="s">
        <v>267</v>
      </c>
      <c r="G11" s="25" t="s">
        <v>254</v>
      </c>
      <c r="H11" s="48" t="s">
        <v>51</v>
      </c>
      <c r="I11" s="48" t="s">
        <v>55</v>
      </c>
    </row>
    <row r="12" spans="1:9" ht="266.5" customHeight="1">
      <c r="A12" s="23" t="s">
        <v>229</v>
      </c>
      <c r="B12" s="25" t="s">
        <v>268</v>
      </c>
      <c r="C12" s="25" t="s">
        <v>250</v>
      </c>
      <c r="D12" s="25" t="s">
        <v>251</v>
      </c>
      <c r="E12" s="25" t="s">
        <v>269</v>
      </c>
      <c r="F12" s="25" t="s">
        <v>267</v>
      </c>
      <c r="G12" s="25" t="s">
        <v>254</v>
      </c>
      <c r="H12" s="48" t="s">
        <v>51</v>
      </c>
      <c r="I12" s="48" t="s">
        <v>55</v>
      </c>
    </row>
    <row r="13" spans="1:9" ht="288.5" customHeight="1">
      <c r="A13" s="23" t="s">
        <v>230</v>
      </c>
      <c r="B13" s="25" t="s">
        <v>270</v>
      </c>
      <c r="C13" s="25" t="s">
        <v>250</v>
      </c>
      <c r="D13" s="25" t="s">
        <v>251</v>
      </c>
      <c r="E13" s="25" t="s">
        <v>271</v>
      </c>
      <c r="F13" s="25" t="s">
        <v>267</v>
      </c>
      <c r="G13" s="25" t="s">
        <v>254</v>
      </c>
      <c r="H13" s="48" t="s">
        <v>51</v>
      </c>
      <c r="I13" s="48" t="s">
        <v>55</v>
      </c>
    </row>
    <row r="14" spans="1:9" ht="282.5" customHeight="1">
      <c r="A14" s="23" t="s">
        <v>231</v>
      </c>
      <c r="B14" s="25" t="s">
        <v>272</v>
      </c>
      <c r="C14" s="25" t="s">
        <v>250</v>
      </c>
      <c r="D14" s="25" t="s">
        <v>251</v>
      </c>
      <c r="E14" s="25" t="s">
        <v>273</v>
      </c>
      <c r="F14" s="25" t="s">
        <v>267</v>
      </c>
      <c r="G14" s="25" t="s">
        <v>254</v>
      </c>
      <c r="H14" s="48" t="s">
        <v>51</v>
      </c>
      <c r="I14" s="48" t="s">
        <v>55</v>
      </c>
    </row>
    <row r="15" spans="1:9" ht="290" customHeight="1">
      <c r="A15" s="23" t="s">
        <v>232</v>
      </c>
      <c r="B15" s="25" t="s">
        <v>274</v>
      </c>
      <c r="C15" s="25" t="s">
        <v>250</v>
      </c>
      <c r="D15" s="25" t="s">
        <v>251</v>
      </c>
      <c r="E15" s="25" t="s">
        <v>275</v>
      </c>
      <c r="F15" s="25" t="s">
        <v>276</v>
      </c>
      <c r="G15" s="25" t="s">
        <v>254</v>
      </c>
      <c r="H15" s="48" t="s">
        <v>51</v>
      </c>
      <c r="I15" s="48" t="s">
        <v>55</v>
      </c>
    </row>
    <row r="16" spans="1:9" ht="280" customHeight="1">
      <c r="A16" s="23" t="s">
        <v>233</v>
      </c>
      <c r="B16" s="25" t="s">
        <v>280</v>
      </c>
      <c r="C16" s="25" t="s">
        <v>250</v>
      </c>
      <c r="D16" s="25" t="s">
        <v>251</v>
      </c>
      <c r="E16" s="25" t="s">
        <v>277</v>
      </c>
      <c r="F16" s="25" t="s">
        <v>276</v>
      </c>
      <c r="G16" s="25" t="s">
        <v>254</v>
      </c>
      <c r="H16" s="48" t="s">
        <v>51</v>
      </c>
      <c r="I16" s="48" t="s">
        <v>55</v>
      </c>
    </row>
    <row r="17" spans="1:9" ht="281" customHeight="1">
      <c r="A17" s="23" t="s">
        <v>234</v>
      </c>
      <c r="B17" s="25" t="s">
        <v>279</v>
      </c>
      <c r="C17" s="25" t="s">
        <v>250</v>
      </c>
      <c r="D17" s="25" t="s">
        <v>251</v>
      </c>
      <c r="E17" s="25" t="s">
        <v>278</v>
      </c>
      <c r="F17" s="25" t="s">
        <v>276</v>
      </c>
      <c r="G17" s="25" t="s">
        <v>254</v>
      </c>
      <c r="H17" s="48" t="s">
        <v>51</v>
      </c>
      <c r="I17" s="48" t="s">
        <v>55</v>
      </c>
    </row>
    <row r="18" spans="1:9" ht="27.5" customHeight="1">
      <c r="A18" s="13"/>
      <c r="I18" s="13"/>
    </row>
    <row r="19" spans="1:9" ht="31.5" customHeight="1">
      <c r="A19" s="13"/>
      <c r="I19" s="13"/>
    </row>
    <row r="20" spans="1:9" ht="32.5" customHeight="1">
      <c r="A20" s="13"/>
      <c r="I20" s="13"/>
    </row>
    <row r="21" spans="1:9" ht="27.5" customHeight="1">
      <c r="A21" s="13"/>
      <c r="I21" s="13"/>
    </row>
    <row r="22" spans="1:9" ht="27.5" customHeight="1">
      <c r="A22" s="13"/>
      <c r="I22" s="13"/>
    </row>
    <row r="23" spans="1:9" ht="27.5" customHeight="1">
      <c r="A23" s="13"/>
      <c r="I23" s="13"/>
    </row>
    <row r="24" spans="1:9" ht="27.5" customHeight="1">
      <c r="A24" s="13"/>
      <c r="I24" s="13"/>
    </row>
    <row r="25" spans="1:9" ht="27.5" customHeight="1">
      <c r="A25" s="13"/>
      <c r="I25" s="13"/>
    </row>
    <row r="26" spans="1:9" ht="27.5" customHeight="1">
      <c r="A26" s="13"/>
      <c r="I26" s="13"/>
    </row>
    <row r="27" spans="1:9" ht="27.5" customHeight="1">
      <c r="A27" s="13"/>
      <c r="I27" s="13"/>
    </row>
    <row r="28" spans="1:9" ht="27.5" customHeight="1">
      <c r="A28" s="13"/>
      <c r="I28" s="13"/>
    </row>
    <row r="29" spans="1:9" ht="27.5" customHeight="1">
      <c r="A29" s="13"/>
      <c r="I29" s="13"/>
    </row>
    <row r="30" spans="1:9" ht="27.5" customHeight="1">
      <c r="A30" s="13"/>
      <c r="I30" s="13"/>
    </row>
    <row r="31" spans="1:9" ht="27.5" customHeight="1">
      <c r="A31" s="13"/>
      <c r="I31" s="13"/>
    </row>
    <row r="32" spans="1:9" ht="27.5" customHeight="1">
      <c r="A32" s="13"/>
      <c r="I32" s="13"/>
    </row>
    <row r="33" spans="1:9" ht="27.5" customHeight="1">
      <c r="A33" s="13"/>
      <c r="I33" s="13"/>
    </row>
    <row r="34" spans="1:9" ht="27.5" customHeight="1">
      <c r="A34" s="13"/>
      <c r="I34" s="13"/>
    </row>
    <row r="35" spans="1:9" ht="27.5" customHeight="1">
      <c r="A35" s="13"/>
      <c r="I35" s="13"/>
    </row>
    <row r="36" spans="1:9" ht="27.5" customHeight="1">
      <c r="A36" s="13"/>
      <c r="I36" s="13"/>
    </row>
    <row r="37" spans="1:9" ht="27.5" customHeight="1">
      <c r="A37" s="13"/>
      <c r="I37" s="13"/>
    </row>
    <row r="38" spans="1:9" ht="27.5" customHeight="1">
      <c r="A38" s="13"/>
      <c r="I38" s="13"/>
    </row>
    <row r="39" spans="1:9" ht="27.5" customHeight="1">
      <c r="A39" s="13"/>
      <c r="I39" s="13"/>
    </row>
    <row r="40" spans="1:9" ht="27.5" customHeight="1">
      <c r="A40" s="13"/>
      <c r="I40" s="13"/>
    </row>
    <row r="41" spans="1:9" ht="27.5" customHeight="1">
      <c r="A41" s="13"/>
      <c r="I41" s="13"/>
    </row>
    <row r="42" spans="1:9" ht="27.5" customHeight="1">
      <c r="A42" s="13"/>
      <c r="I42" s="13"/>
    </row>
    <row r="43" spans="1:9" ht="27.5" customHeight="1">
      <c r="A43" s="13"/>
      <c r="I43" s="13"/>
    </row>
    <row r="44" spans="1:9" ht="27.5" customHeight="1">
      <c r="A44" s="13"/>
      <c r="I44" s="13"/>
    </row>
    <row r="45" spans="1:9" ht="27.5" customHeight="1">
      <c r="A45" s="13"/>
      <c r="I45" s="13"/>
    </row>
    <row r="46" spans="1:9" ht="27.5" customHeight="1">
      <c r="A46" s="13"/>
      <c r="I46" s="13"/>
    </row>
    <row r="47" spans="1:9" ht="27.5" customHeight="1">
      <c r="A47" s="13"/>
      <c r="I47" s="13"/>
    </row>
  </sheetData>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1" operator="containsText" id="{C1B0C9D6-2307-4956-8BA4-72687C7096EB}">
            <xm:f>NOT(ISERROR(SEARCH(Chung!$K$20,H5)))</xm:f>
            <xm:f>Chung!$K$20</xm:f>
            <x14:dxf>
              <fill>
                <patternFill>
                  <bgColor rgb="FFFF7C80"/>
                </patternFill>
              </fill>
            </x14:dxf>
          </x14:cfRule>
          <x14:cfRule type="containsText" priority="2" operator="containsText" id="{251D79C9-DEEF-4525-B19C-5E3AC8635EF0}">
            <xm:f>NOT(ISERROR(SEARCH(Chung!$K$19,H5)))</xm:f>
            <xm:f>Chung!$K$19</xm:f>
            <x14:dxf>
              <fill>
                <patternFill>
                  <bgColor theme="9" tint="0.39994506668294322"/>
                </patternFill>
              </fill>
            </x14:dxf>
          </x14:cfRule>
          <xm:sqref>H5:H17</xm:sqref>
        </x14:conditionalFormatting>
        <x14:conditionalFormatting xmlns:xm="http://schemas.microsoft.com/office/excel/2006/main">
          <x14:cfRule type="containsText" priority="3" operator="containsText" id="{2DB35E54-CA49-4D35-9848-22E92EE439D7}">
            <xm:f>NOT(ISERROR(SEARCH(Chung!$L$20,I5)))</xm:f>
            <xm:f>Chung!$L$20</xm:f>
            <x14:dxf>
              <fill>
                <patternFill>
                  <bgColor theme="2" tint="-9.9948118533890809E-2"/>
                </patternFill>
              </fill>
            </x14:dxf>
          </x14:cfRule>
          <x14:cfRule type="containsText" priority="4" operator="containsText" id="{2C652850-B100-4342-BACF-3B8CAEE7C567}">
            <xm:f>NOT(ISERROR(SEARCH(Chung!$L$19,I5)))</xm:f>
            <xm:f>Chung!$L$19</xm:f>
            <x14:dxf>
              <fill>
                <patternFill>
                  <bgColor theme="7" tint="0.59996337778862885"/>
                </patternFill>
              </fill>
            </x14:dxf>
          </x14:cfRule>
          <xm:sqref>I5:I17</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Chung!$L$19:$L$20</xm:f>
          </x14:formula1>
          <xm:sqref>I5:I17</xm:sqref>
        </x14:dataValidation>
        <x14:dataValidation type="list" allowBlank="1" showInputMessage="1" showErrorMessage="1">
          <x14:formula1>
            <xm:f>Chung!$K$19:$K$20</xm:f>
          </x14:formula1>
          <xm:sqref>H5:H17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Chung</vt:lpstr>
      <vt:lpstr>Đăng nhập</vt:lpstr>
      <vt:lpstr>Đăng ký</vt:lpstr>
      <vt:lpstr>Tìm kiếm sản phẩm</vt:lpstr>
      <vt:lpstr>Thông tin cá nhân</vt:lpstr>
      <vt:lpstr>Đặt hàng</vt:lpstr>
      <vt:lpstr>Đánh giá sản phẩm</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HP</cp:lastModifiedBy>
  <dcterms:created xsi:type="dcterms:W3CDTF">2024-12-12T06:08:00Z</dcterms:created>
  <dcterms:modified xsi:type="dcterms:W3CDTF">2026-01-06T09:13:29Z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24A842CA1D9B477A8D99CD51D0F05B73_13</vt:lpwstr>
  </property>
  <property fmtid="{D5CDD505-2E9C-101B-9397-08002B2CF9AE}" pid="3" name="KSOProductBuildVer">
    <vt:lpwstr>1033-12.2.0.19307</vt:lpwstr>
  </property>
</Properties>
</file>