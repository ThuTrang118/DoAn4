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DoAn4\Framework_MWC_Testing\BaoCao\"/>
    </mc:Choice>
  </mc:AlternateContent>
  <bookViews>
    <workbookView xWindow="-110" yWindow="-110" windowWidth="19420" windowHeight="11620" tabRatio="877" activeTab="4"/>
  </bookViews>
  <sheets>
    <sheet name="Chung" sheetId="22" r:id="rId1"/>
    <sheet name="Đăng nhập" sheetId="1" r:id="rId2"/>
    <sheet name="Đăng ký" sheetId="2" r:id="rId3"/>
    <sheet name="Tìm kiếm sản phẩm" sheetId="4" r:id="rId4"/>
    <sheet name="Thông tin cá nhân" sheetId="19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9" l="1"/>
  <c r="D3" i="19"/>
  <c r="E2" i="19"/>
  <c r="D2" i="19"/>
  <c r="E1" i="19"/>
  <c r="D1" i="19"/>
  <c r="D3" i="4"/>
  <c r="C3" i="4"/>
  <c r="D2" i="4"/>
  <c r="C2" i="4"/>
  <c r="D1" i="4"/>
  <c r="C1" i="4"/>
  <c r="E3" i="2"/>
  <c r="D3" i="2"/>
  <c r="E2" i="2"/>
  <c r="D2" i="2"/>
  <c r="E1" i="2"/>
  <c r="D1" i="2"/>
  <c r="E3" i="1"/>
  <c r="D3" i="1"/>
  <c r="E2" i="1"/>
  <c r="D2" i="1"/>
  <c r="E1" i="1"/>
  <c r="D1" i="1"/>
  <c r="G7" i="22"/>
  <c r="F7" i="22"/>
  <c r="E7" i="22"/>
  <c r="D7" i="22"/>
  <c r="C7" i="22"/>
  <c r="F8" i="22" l="1"/>
  <c r="G8" i="22"/>
  <c r="E8" i="22"/>
  <c r="C8" i="22"/>
  <c r="D8" i="22"/>
</calcChain>
</file>

<file path=xl/sharedStrings.xml><?xml version="1.0" encoding="utf-8"?>
<sst xmlns="http://schemas.openxmlformats.org/spreadsheetml/2006/main" count="500" uniqueCount="235">
  <si>
    <t>STT</t>
  </si>
  <si>
    <t>Chức năng</t>
  </si>
  <si>
    <t>Tổng số Testcase</t>
  </si>
  <si>
    <t>Số testcase PASS</t>
  </si>
  <si>
    <t>Đăng nhập</t>
  </si>
  <si>
    <t>Đăng ký</t>
  </si>
  <si>
    <t>Tìm kiếm sản phẩm</t>
  </si>
  <si>
    <t>Thông tin cá nhân</t>
  </si>
  <si>
    <t>TỔNG</t>
  </si>
  <si>
    <t>Back to TestReport</t>
  </si>
  <si>
    <t>To Buglist</t>
  </si>
  <si>
    <t>Module Code</t>
  </si>
  <si>
    <t>WithDraw</t>
  </si>
  <si>
    <t>Tester</t>
  </si>
  <si>
    <t>Test Case ID</t>
  </si>
  <si>
    <t>Tên Test Case</t>
  </si>
  <si>
    <t>Mô tả</t>
  </si>
  <si>
    <t>Điều kiện trước</t>
  </si>
  <si>
    <t>Các bước thực hiện</t>
  </si>
  <si>
    <t>Kết quả mong muốn</t>
  </si>
  <si>
    <t>Kết quả thực tế</t>
  </si>
  <si>
    <t>Status</t>
  </si>
  <si>
    <t>Note</t>
  </si>
  <si>
    <t>Đăng nhập thành công</t>
  </si>
  <si>
    <t>Kiểm tra người dùng có thể đăng nhập thành công</t>
  </si>
  <si>
    <t>Tài khoản hợp lệ đã được tạo</t>
  </si>
  <si>
    <t>Mã</t>
  </si>
  <si>
    <t>Mục đích</t>
  </si>
  <si>
    <t>Tìm kiếm với ký tự đặc biệt</t>
  </si>
  <si>
    <t>Phạm Thị Thu Trang</t>
  </si>
  <si>
    <t>Kiểm tra chức năng cập nhật thông tin tài khoản</t>
  </si>
  <si>
    <t>Người dùng đã đăng nhập thành công tài khoản vào hệ thống.
Trang thông tin cá nhân hiển thị, người dùng yêu cầu cập nhật thông tin cá nhân</t>
  </si>
  <si>
    <t>Thông tin được lưu lại và hiển thị ở trang thông tin tài khoản</t>
  </si>
  <si>
    <t>Số test case FAIL</t>
  </si>
  <si>
    <t>Ứng dụng hiển thị form đăng nhập</t>
  </si>
  <si>
    <t>Kiểm tra hệ thống phản hồi khi nhập sai thông tin</t>
  </si>
  <si>
    <t>Kiểm tra hệ thống cho phép đăng ký khi nhập dữ liệu hợp lệ</t>
  </si>
  <si>
    <t xml:space="preserve">	Đăng ký thành công</t>
  </si>
  <si>
    <t>Người dùng chưa có tài khoản</t>
  </si>
  <si>
    <t>Kiểm tra chức năng tìm kiếm khi nhập đúng tên sản phẩm</t>
  </si>
  <si>
    <t>Có dữ liệu sản phẩm với tên cụ thể trong hệ thống</t>
  </si>
  <si>
    <t>Tìm kiếm với từ khóa không tồn tại</t>
  </si>
  <si>
    <t>Kiểm tra phản hồi hệ thống khi tìm kiếm với từ khóa không hợp lệ</t>
  </si>
  <si>
    <t>Tìm kiếm với ô tìm kiếm rỗng</t>
  </si>
  <si>
    <t>Kiểm tra xem hệ thống xử lý thế nào khi không nhập gì mà vẫn tìm kiếm</t>
  </si>
  <si>
    <t>Kiểm tra xem hệ thống có xử lý hợp lệ khi người dùng nhập ký tự đặc biệt hay không</t>
  </si>
  <si>
    <t>Cập nhật thành công với thông tin hợp lệ</t>
  </si>
  <si>
    <t>Kiểm tra chức năng cập nhật tài khoản khi bỏ trống Địa chỉ</t>
  </si>
  <si>
    <t>Người dùng đã đăng nhập thành công tài khoản vào hệ thống.
Trang thông tin cá nhân hiển thị, người dùng yêu cầu thay đổi mật khẩu</t>
  </si>
  <si>
    <t>Đăng nhập khi thông tin toàn chữ in hoa</t>
  </si>
  <si>
    <t>Auto</t>
  </si>
  <si>
    <t>FAIL</t>
  </si>
  <si>
    <t>PASS</t>
  </si>
  <si>
    <t>Manual</t>
  </si>
  <si>
    <t>Đăng kí thành công và vào trang chủ với tài khoản vừa đăng kí</t>
  </si>
  <si>
    <t>AUTO</t>
  </si>
  <si>
    <t>MANUAL</t>
  </si>
  <si>
    <t>Tìm kiếm với tên sản phẩm đầy đủ</t>
  </si>
  <si>
    <t>1. Truy cập vào trang chủ website Ella
2. Để trống ô tìm kiếm
3. Ấn Enter hoặc icon tìm kiếm</t>
  </si>
  <si>
    <t>Tìm kiếm khi toàn số</t>
  </si>
  <si>
    <t>Kiểm tra xem hệ thống có xử lý hợp lý khi người dùng nhập toàn số</t>
  </si>
  <si>
    <t>Tỷ lệ</t>
  </si>
  <si>
    <t>DN-1</t>
  </si>
  <si>
    <t>DN-2</t>
  </si>
  <si>
    <t>DN-3</t>
  </si>
  <si>
    <t>DN-4</t>
  </si>
  <si>
    <t>DN-5</t>
  </si>
  <si>
    <t>DN-6</t>
  </si>
  <si>
    <t>DN-7</t>
  </si>
  <si>
    <t>DN-8</t>
  </si>
  <si>
    <t>DK-1</t>
  </si>
  <si>
    <t>DK-2</t>
  </si>
  <si>
    <t>DK-3</t>
  </si>
  <si>
    <t>DK-4</t>
  </si>
  <si>
    <t>DK-5</t>
  </si>
  <si>
    <t>DK-6</t>
  </si>
  <si>
    <t>DK-7</t>
  </si>
  <si>
    <t>DK-8</t>
  </si>
  <si>
    <t>DK-9</t>
  </si>
  <si>
    <t>DK-10</t>
  </si>
  <si>
    <t>TK-1</t>
  </si>
  <si>
    <t>TK-2</t>
  </si>
  <si>
    <t>TK-3</t>
  </si>
  <si>
    <t>TK-4</t>
  </si>
  <si>
    <t>TK-5</t>
  </si>
  <si>
    <t>TK-6</t>
  </si>
  <si>
    <t>TK-7</t>
  </si>
  <si>
    <t>TK-8</t>
  </si>
  <si>
    <t>TK-9</t>
  </si>
  <si>
    <t>TTCN-1</t>
  </si>
  <si>
    <t>TTCN-2</t>
  </si>
  <si>
    <t>TTCN-3</t>
  </si>
  <si>
    <t>TTCN-4</t>
  </si>
  <si>
    <t>TTCN-5</t>
  </si>
  <si>
    <t>TTCN-6</t>
  </si>
  <si>
    <t>TTCN-7</t>
  </si>
  <si>
    <t>TTCN-8</t>
  </si>
  <si>
    <t>TTCN-9</t>
  </si>
  <si>
    <t>TTCN-10</t>
  </si>
  <si>
    <t>TTCN-11</t>
  </si>
  <si>
    <t>TTCN-12</t>
  </si>
  <si>
    <t>TTCN-13</t>
  </si>
  <si>
    <t>Đăng nhập thành công và điều hướng đến trang chủ, xem được thông tin cá nhân</t>
  </si>
  <si>
    <t>Hệ thống không hiển thị thông báo.</t>
  </si>
  <si>
    <t>Hệ thống hiển thị thông báo "Tên đăng nhập hoặc mật khẩu không đúng!"</t>
  </si>
  <si>
    <t>Kiểm tra thông báo lỗi khi bỏ trống SĐT</t>
  </si>
  <si>
    <t xml:space="preserve">	Đăng ký thất bại-  SĐT trống</t>
  </si>
  <si>
    <t xml:space="preserve">	Đăng ký thất bại - SĐT &lt;10 ký tự số</t>
  </si>
  <si>
    <t xml:space="preserve">	Đăng ký thất bại - SĐT toàn chữ</t>
  </si>
  <si>
    <t xml:space="preserve">	Đăng ký thất bại - SĐT chứa ký tự đặc biệt</t>
  </si>
  <si>
    <t xml:space="preserve">	Đăng ký thất bại - SĐT &gt; 10 ký tự số</t>
  </si>
  <si>
    <t xml:space="preserve">	Đăng ký thất bại - Mật khẩu &lt;8 ký tự</t>
  </si>
  <si>
    <t xml:space="preserve">	Đăng ký thất bại - Mật khẩu &gt; 20 ký tự</t>
  </si>
  <si>
    <t>DK-11</t>
  </si>
  <si>
    <t>DK-12</t>
  </si>
  <si>
    <t>DK-13</t>
  </si>
  <si>
    <t>DK-14</t>
  </si>
  <si>
    <t xml:space="preserve">	Đăng ký thất bại - SĐT có dấu cách</t>
  </si>
  <si>
    <t>Kiểm tra khi nhập SĐT không hợp lệ</t>
  </si>
  <si>
    <t xml:space="preserve">Người dùng chưa có tài khoản </t>
  </si>
  <si>
    <t>Hiển thị thông báo “Vui lòng điền vào trường này” tại SĐT</t>
  </si>
  <si>
    <t>Hiển thị lỗi "Số điện thoại không đúng định dạng!"</t>
  </si>
  <si>
    <t>Hiển thị lỗi "Mật khẩu phải lớn hơn 8 ký tự và nhỏ hơn 20 ký tự!"</t>
  </si>
  <si>
    <t>Hiển thị lỗi "Mật khẩu không giống nhau!"</t>
  </si>
  <si>
    <t>Hiển thị lỗi "Tài khoản đã tồn tại trong hệ thống"</t>
  </si>
  <si>
    <t>Không hiển thị thông báo</t>
  </si>
  <si>
    <t>Tìm kiếm theo màu sắc sản phẩm</t>
  </si>
  <si>
    <t>Tìm kiếm với mã sản phẩm</t>
  </si>
  <si>
    <t>Tìm kiếm với loại sản phẩm - chữ thường</t>
  </si>
  <si>
    <t>Tìm kiếm với loại sản phẩm - chữ in hoa</t>
  </si>
  <si>
    <t>Tìm kiếm với từ khóa không dấu</t>
  </si>
  <si>
    <t>Tìm kiếm với từ khóa không đầy đủ</t>
  </si>
  <si>
    <t>TK-10</t>
  </si>
  <si>
    <t>TK-11</t>
  </si>
  <si>
    <t>Kiểm tra chức năng tìm kiếm khi nhập tên sản phẩm không dấu</t>
  </si>
  <si>
    <t>Kiểm tra chức năng tìm kiếm khi nhập tên sản phẩm không đầy đủ</t>
  </si>
  <si>
    <t>Kiểm tra xem hệ thống có xử lý hợp lý khi người dùng nhập màu sắc của sản phẩm</t>
  </si>
  <si>
    <t>1. Truy cập vào trang chủ website  MWC
2. Nhập đầy đủ tên sản phẩm
VD: Giày Sandal Nữ MWC E196 - Sandal Đế Đúc Nguyên Khối, Quai Ngang To Bản Kết Hợp Quai Dán Tiện Lợi, Cá Tính, Thoải Mái.
3. Ấn Enter hoặc icon tìm kiếm</t>
  </si>
  <si>
    <t>1. Truy cập vào trang chủ website Ella
2. Nhập từ khóa tìm kiếm
VD: E196
3. Ấn Enter hoặc icon tìm kiếm</t>
  </si>
  <si>
    <t>Hệ thống hiển thị đúng sản phẩm xuất hiện đầu tiền là "Giày Sandal Nữ MWC E196 - Sandal Đế Đúc Nguyên Khối, Quai Ngang To Bản Kết Hợp Quai Dán Tiện Lợi, Cá Tính, Thoải Mái."</t>
  </si>
  <si>
    <t>1. Truy cập vào trang chủ website Ella
2. Nhập từ khóa tìm kiếm
VD: Giày
3. Ấn Enter hoặc icon tìm kiếm</t>
  </si>
  <si>
    <t>1. Truy cập vào trang chủ website Ella
2. Nhập từ khóa tìm kiếm
VD: GIÀY
3. Ấn Enter hoặc icon tìm kiếm</t>
  </si>
  <si>
    <t>Hệ thống hiển thị đúng sản phẩm xuất hiện đầu tiền có chứa từ tìm kiếm "Giày"</t>
  </si>
  <si>
    <t>1. Truy cập vào trang chủ website Ella
2. Nhập từ khóa tìm kiếm
VD: Giay the thao
3. Ấn Enter hoặc icon tìm kiếm</t>
  </si>
  <si>
    <t>Hệ thống hiển thị đúng sản phẩm xuất hiện đầu tiền có chứa từ tìm kiếm "Giày thể thao"</t>
  </si>
  <si>
    <t>1. Truy cập vào trang chủ website Ella
2. Nhập từ khóa tìm kiếm
VD: Giày th
3. Ấn Enter hoặc icon tìm kiếm</t>
  </si>
  <si>
    <t>Hệ thống không trả ra sản phẩm nào</t>
  </si>
  <si>
    <t>1. Truy cập vào trang chủ website Ella
2. Nhập từ khóa tìm kiếm
VD: Bánh bao
3. Ấn Enter hoặc icon tìm kiếm</t>
  </si>
  <si>
    <t>1. Truy cập vào trang chủ website Ella
2. Nhập từ khóa tìm kiếm
VD: Giay!#$%
3. Ấn Enter hoặc icon tìm kiếm</t>
  </si>
  <si>
    <t>1. Truy cập vào trang chủ website Ella
2. Nhập từ khóa tìm kiếm
VD: 196
3. Ấn Enter hoặc icon tìm kiếm</t>
  </si>
  <si>
    <t>1. Truy cập vào trang chủ website Ella
2. Nhập từ khóa tìm kiếm
VD: Màu đen
3. Ấn Enter hoặc icon tìm kiếm</t>
  </si>
  <si>
    <t>Hệ thống hiển thị đúng sản phẩm xuất hiện đầu tiền có chứa từ tìm kiếm "màu đen"</t>
  </si>
  <si>
    <t>Đăng ký thất bại - Tên đăng nhập trống</t>
  </si>
  <si>
    <t>Kiểm tra thông báo lỗi khi bỏ trống Tên đăng nhập</t>
  </si>
  <si>
    <t>Hiển thị thông báo “Vui lòng điền vào trường này” tại Tên đăng nhập</t>
  </si>
  <si>
    <t xml:space="preserve">	Đăng ký thất bại - Tên đăng nhập đã tồn tại</t>
  </si>
  <si>
    <t>Kiểm tra thông báo khi nhập Tên đăng nhập đã tồn tại</t>
  </si>
  <si>
    <t xml:space="preserve">	Đăng ký thất bại - Mật khẩu trống </t>
  </si>
  <si>
    <t>Kiểm tra thông báo lỗi khi bỏ trống Mật khẩu</t>
  </si>
  <si>
    <t>Hiển thị thông báo “Vui lòng điền vào trường này” tại Mật khẩu</t>
  </si>
  <si>
    <t>Kiểm tra thông báo khi Mật khẩu không hợp lệ</t>
  </si>
  <si>
    <t xml:space="preserve">	Đăng ký thất bại - Mật khẩu khác Mật khẩuConfirm</t>
  </si>
  <si>
    <t>1. Nhập email hợp lệ
VD: Ánh Dương Phạm
2. Nhập SĐT
VD: 0352146789
3. Nhập Mật khẩu hợp lệ (8 &lt; Mật khẩu &lt; 20)
VD: 123456789
3. Nhập lại đúng Mật khẩu
VD: 123456789
4. Nhấn “Đăng ký”</t>
  </si>
  <si>
    <t>1. Nhập Tên đăng nhập hợp lệ
VD: user_demo_2
2. Bỏ nhập SĐT
3. Nhập Mật khẩu hợp lệ (8 &lt; Mật khẩu &lt; 20)
VD: Abcde12345
3. Nhập lại đúng Nhắc lại mật khẩu
VD: Abcde12345
4. Nhấn “Đăng ký”</t>
  </si>
  <si>
    <t>1. Bỏ nhập Tên đăng nhập 
2. Nhập SĐT
VD:  0912345678
3. Nhập Mật khẩu hợp lệ (8 &lt; Mật khẩu &lt; 20)
VD: Abcde12345
3. Nhập lại đúng Nhắc lại mật khẩu
VD: Abcde12345
4. Nhấn “Đăng ký”</t>
  </si>
  <si>
    <t>1. Nhập Tên đăng nhập hợp lệ
VD: user_demo_3
2. Nhập SĐT
VD:  0912345678
3. Bỏ nhập Mật khẩu
3. Nhập Nhắc lại mật khẩu
VD: Abcde12345
4. Nhấn “Đăng ký”</t>
  </si>
  <si>
    <t xml:space="preserve">	Đăng ký thất bại - Nhắc lại mật khẩu  trống </t>
  </si>
  <si>
    <t>Kiểm tra thông báo lỗi khi bỏ trống Nhắc lại mật khẩu</t>
  </si>
  <si>
    <t>1. Nhập Tên đăng nhập hợp lệ
VD: user_demo_4
2. Nhập SĐT
VD:  0912345678
3. Nhập Mật khẩu hợp lệ (8 &lt; Mật khẩu &lt; 20)
VD: Abcde12345
3. Bỏ nhập Nhắc lại mật khẩu
4. Nhấn “Đăng ký”</t>
  </si>
  <si>
    <t>Hiển thị thông báo “Vui lòng điền vào trường này” tại Nhắc lại mật khẩu</t>
  </si>
  <si>
    <t>1. Nhập Tên đăng nhập hợp lệ
VD: user_demo_5
2. Nhập SĐT (3 ký tự số)
VD:  091
3. Nhập Mật khẩu hợp lệ (8 &lt; Mật khẩu &lt; 20)
VD: Abcde12345
3. Nhập lại đúng Nhắc lại mật khẩu
VD: Abcde12345
4. Nhấn “Đăng ký”</t>
  </si>
  <si>
    <t>1. Nhập Tên đăng nhập hợp lệ
VD: user_demo_6
2. Nhập SĐT (3 ký tự chữ)
VD:  abc
3. Nhập Mật khẩu hợp lệ (8 &lt; Mật khẩu &lt; 20)
VD: Abcde12345
3. Nhập lại đúng Nhắc lại mật khẩu
VD: Abcde12345
4. Nhấn “Đăng ký”</t>
  </si>
  <si>
    <t>1. Nhập Tên đăng nhập hợp lệ
VD: user_demo_7
2. Nhập SĐT (3 ký tự có chữ ký tự đặc biệt)
VD:  03!
3. Nhập Mật khẩu hợp lệ (8 &lt; Mật khẩu &lt; 20)
VD: Abcde12345
3. Nhập lại đúng Nhắc lại mật khẩu
VD: Abcde12345
4. Nhấn “Đăng ký”</t>
  </si>
  <si>
    <t>1. Nhập Tên đăng nhập hợp lệ
VD: user_demo_8
2. Nhập SĐT (có chứ khoảng trắng)
VD:  03 45216789
3. Nhập Mật khẩu hợp lệ (8 &lt; Mật khẩu &lt; 20)
VD: Abcde12345
3. Nhập lại đúng Nhắc lại mật khẩu
VD: Abcde12345
4. Nhấn “Đăng ký”</t>
  </si>
  <si>
    <t>1. Nhập Tên đăng nhập hợp lệ
VD: user_demo_9
2. Nhập SĐT (11 ký tự số)
VD:  03452167891
3. Nhập Mật khẩu hợp lệ (8 &lt; Mật khẩu &lt; 20)
VD: Abcde12345
3. Nhập lại đúng Nhắc lại mật khẩu
VD: Abcde12345
4. Nhấn “Đăng ký”</t>
  </si>
  <si>
    <t>1. Nhập Tên đăng nhập hợp lệ
VD: user_demo_10
2. Nhập SĐT 
VD:  0912345678
3. Nhập Mật khẩu không hợp lệ (&lt; 8 ký tự )
VD: 123
3. Nhập lại đúng Nhắc lại mật khẩu
VD: 123
4. Nhấn “Đăng ký”</t>
  </si>
  <si>
    <t>1. Nhập Tên đăng nhập hợp lệ
VD: user_demo_11
2. Nhập SĐT 
VD:  0912345678
3. Nhập Mật khẩu không hợp lệ (&gt; 20 ký tự )
VD: 1234567890abcdefghiklmno
3. Nhập lại đúng Nhắc lại mật khẩu
VD: 1234567890abcdefghiklmno
4. Nhấn “Đăng ký”</t>
  </si>
  <si>
    <t>Kiểm tra thông báo khi nhập Nhắc lại mật khẩu không trùng với Mật khẩu</t>
  </si>
  <si>
    <t>1. Nhập Tên đăng nhập hợp lệ
VD: user_demo_12
2. Nhập SĐT 
VD:  0912345679
3. Nhập Mật khẩu hợp lệ
VD: 12345678
3. Nhập lại sai Nhắc lại mật khẩu
VD: 123
4. Nhấn “Đăng ký”</t>
  </si>
  <si>
    <t>Bỏ trống ô Mật khẩu</t>
  </si>
  <si>
    <t>Kiểm tra thông báo lỗi khi người dùng không nhập Mật khẩu</t>
  </si>
  <si>
    <t>Hệ thống hiển thị thông báo "Vui lòng điền vào trường này" tại ô Mật khẩu</t>
  </si>
  <si>
    <t>Kiểm tra thông báo lỗi khi người dùng không nhập email và Mật khẩu</t>
  </si>
  <si>
    <t xml:space="preserve">Mật khẩu không đúng </t>
  </si>
  <si>
    <t>1. Nhập Tên đăng nhập hợp lệ 
VD: Ánh Dương Phạm
2. Nhập Mật khẩu hợp lệ
VD: anhduong@123
3. Nhấn đăng nhập</t>
  </si>
  <si>
    <t>1. Nhập Tên đăng nhập hợp lệ 
VD: ÁNH DƯƠNG PHẠM
2. Nhập Mật khẩu hợp lệ
VD: anhduong@123
3. Nhấn đăng nhập</t>
  </si>
  <si>
    <t>1. Nhập Tên đăng nhập hợp lệ 
VD: anhduongpham
2. Nhập Mật khẩu hợp lệ
VD: anhduong@123
3. Nhấn đăng nhập</t>
  </si>
  <si>
    <t>Bỏ trống ô Tên đăng nhập</t>
  </si>
  <si>
    <t>Kiểm tra thông báo lỗi khi người dùng không nhập Tên đăng nhập</t>
  </si>
  <si>
    <t>1. Bỏ trống Tên đăng nhập
2. Nhập Mật khẩu hợp lệ
VD: anhduong@124
3. Nhấn đăng nhập</t>
  </si>
  <si>
    <t>Hệ thống hiển thị thông báo "Vui lòng điền vào trường này" tại ô Tên đăng nhập</t>
  </si>
  <si>
    <t>1. Nhập Tên đăng nhập hợp lệ 
VD: anhduongpham
2. Bỏ trống Mật khẩu
3. Nhấn đăng nhập</t>
  </si>
  <si>
    <t>Bỏ trống ô Tên đăng nhập và Mật khẩu</t>
  </si>
  <si>
    <t>Tên đăng nhập không đúng</t>
  </si>
  <si>
    <t>1. Nhập Tên đăng nhập hợp lệ 
VD: anh
2. Nhập Mật khẩu hợp lệ
VD: anhduong@125
3. Nhấn đăng nhập</t>
  </si>
  <si>
    <t>1. Nhập Tên đăng nhập hợp lệ 
VD: Ánh Dương Phạm
2. Nhập Mật khẩu hợp lệ
VD: anhduong
3. Nhấn đăng nhập</t>
  </si>
  <si>
    <t>1. Mở trang thông tin cá nhân
2. Điền Tên
VD: Phạm Thị Ánh Dương
3. Điền Email
VD: anh1@gmail.com
4. Điền SĐT
VD: 03321156789
5. Điền Giới tính
VD: Nữ
6. Chọn ngày sinh
VD: 1/1/2000
7. Chọn thông tin nhận hàng
VD: Hậu Giang/ Huyện Châu Thành/Xã Đông Phước A
8. Điền Địa chỉ
VD: abc
9. Bấm "Lưu"</t>
  </si>
  <si>
    <t>1. Mở trang thông tin cá nhân
2. Điền Tên
 VD: Phạm Thị Ánh Dương
3. Điền Email
 VD: anh1@gmail.com
4. Điền SĐT
 VD: 03321156789
5. Điền Giới tính
 VD: Nam
6. Chọn ngày sinh
 VD: 10/10/2000
7. Chọn thông tin nhận hàng
 VD: TP. Hồ Chí Minh / Quận 1 / Phường Bến Nghé
8. Điền Địa chỉ
 VD: abc
9. Bấm "Lưu"</t>
  </si>
  <si>
    <t>1. Mở trang thông tin cá nhân
2. Điền Tên
 VD: (trống)
3. Điền Email
 VD: anh1@gmail.com
4. Điền SĐT
 VD: 03321156790
5. Điền Giới tính
 VD: Nữ
6. Chọn ngày sinh
 VD: 11/11/2001
7. Chọn thông tin nhận hàng
 VD: TP. Hồ Chí Minh / Quận 2 / Phường Bến Nghé
8. Điền Địa chỉ
 VD: abc
9. Bấm "Lưu"</t>
  </si>
  <si>
    <t> 1. Mở trang thông tin cá nhân
2. Điền Tên
 VD: Phạm Thị Ánh Dương
3. Điền Email
 VD: (trống)
4. Điền SĐT
 VD: 03321156790
5. Điền Giới tính
 VD: Khác
6. Chọn ngày sinh
 VD: 11/11/2001
7. Chọn thông tin nhận hàng
 VD: TP. Hồ Chí Minh / Quận 2 / Phường Bến Nghé
8. Điền Địa chỉ
 VD: abc
9. Bấm "Lưu"</t>
  </si>
  <si>
    <t>1. Mở trang thông tin cá nhân
2. Điền Tên
 VD: Phạm Thị Ánh Dương
3. Điền Email
 VD: anh1@gmail.com
4. Điền SĐT
 VD: 0332115678987
5. Điền Giới tính
 VD: Nam
6. Chọn ngày sinh
 VD: 3/3/2007
7. Chọn thông tin nhận hàng
 VD: Hậu Giang / Huyện Châu Thành / Xã Đông Phước A
8. Điền Địa chỉ
 VD: abc
9. Bấm "Lưu"</t>
  </si>
  <si>
    <t>Kiểm tra cập nhật khi để trống họ tên</t>
  </si>
  <si>
    <t>Kiểm tra cập nhật khi để trống email</t>
  </si>
  <si>
    <t>Kiểm tra chức năng cập nhật tài khoản khi bỏ trống email</t>
  </si>
  <si>
    <t>Kiểm tra chức năng cập nhật thông tin tài khoản khi bỏ trống họ tên</t>
  </si>
  <si>
    <t>Kiểm tra cập nhật khi để trống Địa chỉ</t>
  </si>
  <si>
    <t>1. Mở trang thông tin cá nhân
2. Điền Tên
 VD: Phạm Thị Ánh Dương
3. Điền Email
 VD: anh1@gmail.com
4. Điền SĐT
 VD: 03321156790
5. Điền Giới tính
 VD: Nữ
6. Chọn ngày sinh
 VD: 11/11/2001
7. Chọn thông tin nhận hàng
 VD: TP. Hồ Chí Minh / Quận 2 / Phường Bến Nghé
8. Điền Địa chỉ
 VD: (trống)
9. Bấm "Lưu"</t>
  </si>
  <si>
    <t xml:space="preserve">Kiểm tra chức năng cập nhật tài khoản khi bỏ trống Thông tin nhân hàng </t>
  </si>
  <si>
    <t>1. Mở trang thông tin cá nhân
2. Điền Tên
 VD: Phạm Thị Ánh Dương
3. Điền Email
 VD: anh1@
4. Điền SĐT
 VD: 03321156790
5. Điền Giới tính
 VD: Nam
6. Chọn ngày sinh
 VD: 11/11/2001
7. Chọn thông tin nhận hàng
 VD: (Trống)
8. Điền Địa chỉ
 VD: (trống)
9. Bấm "Lưu"</t>
  </si>
  <si>
    <t>Kiểm tra cập nhật khi để trống Thông tin nhận hàng</t>
  </si>
  <si>
    <t>Cập nhật thông tin tài khoản - Email  thiếu gmail,com</t>
  </si>
  <si>
    <t>Kiểm tra chức năng cập nhật tài khoản khi email sai định dạng</t>
  </si>
  <si>
    <t>1. Mở trang thông tin cá nhân
2. Điền Tên
 VD: Phạm Thị Ánh Dương
3. Điền Email
 VD: anh1@
4. Điền SĐT
 VD: 03321156790
5. Điền Giới tính
 VD: Khác
6. Chọn ngày sinh
 VD: 11/11/2001
7. Chọn thông tin nhận hàng
 VD: TP. Hồ Chí Minh / Quận 2 / Phường Bến Nghé
8. Điền Địa chỉ
 VD: abc
9. Bấm "Lưu"</t>
  </si>
  <si>
    <t xml:space="preserve">Cập nhật thông tin tài khoản - Email  chứa ký tự đặc biệt </t>
  </si>
  <si>
    <t>1. Mở trang thông tin cá nhân
2. Điền Tên
 VD: Phạm Thị Ánh Dương
3. Điền Email
 VD: anh1@@
4. Điền SĐT
 VD: 03321156790
5. Điền Giới tính
 VD: Nam
6. Chọn ngày sinh
 VD: 11/11/2001
7. Chọn thông tin nhận hàng
 VD: TP. Hồ Chí Minh / Quận 2 / Phường Bến Nghé
8. Điền Địa chỉ
 VD: abc
9. Bấm "Lưu"</t>
  </si>
  <si>
    <t>Cập nhật thông tin tài khoản - Email  thiếu com</t>
  </si>
  <si>
    <t>1. Mở trang thông tin cá nhân
2. Điền Tên
 VD: Phạm Thị Ánh Dương
3. Điền Email
 VD: anh1@gmail.
4. Điền SĐT
 VD: (trống)
5. Điền Giới tính
 VD: Nữ
6. Chọn ngày sinh
 VD: 11/11/2001
7. Chọn thông tin nhận hàng
 VD: TP. Hồ Chí Minh / Quận 2 / Phường Bến Nghé
8. Điền Địa chỉ
 VD: abc
9. Bấm "Lưu"</t>
  </si>
  <si>
    <t>Cập nhật thông tin tài khoản - Bỏ trống SĐT</t>
  </si>
  <si>
    <t>1. Mở trang thông tin cá nhân
2. Điền Tên
 VD: Phạm Thị Ánh Dương
3. Điền Email
 VD: anh1@gmail.com
4. Điền SĐT
 VD: (trống)
5. Điền Giới tính
 VD: Khác
6. Chọn ngày sinh
 VD: 11/11/2001
7. Chọn thông tin nhận hàng
 VD: TP. Hồ Chí Minh / Quận 2 / Phường Bến Nghé
8. Điền Địa chỉ
 VD: abc
9. Bấm "Lưu"</t>
  </si>
  <si>
    <t>Kiểm tra chức năng cập nhật tài khoản khi bỏ trống SĐT</t>
  </si>
  <si>
    <t>Cập nhật thông tin tài khoản - SĐT toàn chữ</t>
  </si>
  <si>
    <t>Kiểm tra chức năng cập nhật tài khoản khi SĐT sai định dạng</t>
  </si>
  <si>
    <t xml:space="preserve">Cập nhật thông tin tài khoản - SĐT &lt;10 ký tự số </t>
  </si>
  <si>
    <t>1. Mở trang thông tin cá nhân
2. Điền Tên
 VD: Phạm Thị Ánh Dương
3. Điền Email
 VD: anh1@gmail.com
4. Điền SĐT
 VD: abcd
5. Điền Giới tính
 VD: Nam
6. Chọn ngày sinh
 VD: 11/11/2001
7. Chọn thông tin nhận hàng
 VD: TP. Hồ Chí Minh / Quận 2 / Phường Bến Nghé
8. Điền Địa chỉ
 VD: abc
9. Bấm "Lưu"</t>
  </si>
  <si>
    <t>1. Mở trang thông tin cá nhân
2. Điền Tên
 VD: Phạm Thị Ánh Dương
3. Điền Email
 VD: anh1@gmail.com
4. Điền SĐT
 VD: 345
5. Điền Giới tính
 VD: Nữ
6. Chọn ngày sinh
 VD: 2/2/2006
7. Chọn thông tin nhận hàng
 VD: Hậu Giang / Huyện Châu Thành / Xã Đông Phước A
8. Điền Địa chỉ
 VD: abc
9. Bấm "Lưu"</t>
  </si>
  <si>
    <t xml:space="preserve">Cập nhật thông tin tài khoản - SĐT &gt;10 ký tự số </t>
  </si>
  <si>
    <t>TTCN-14</t>
  </si>
  <si>
    <t>Cập nhật thông tin tài khoản - SĐT chứa ký tự đặc biệt</t>
  </si>
  <si>
    <t>1. Mở trang thông tin cá nhân
2. Điền Tên
 VD: Phạm Thị Ánh Dương
3. Điền Email
 VD: anh1@gmail.com
4. Điền SĐT
 VD: !#$%^&amp;*()
5. Điền Giới tính
 VD: Nam
6. Chọn ngày sinh
 VD: 3/3/2007
7. Chọn thông tin nhận hàng
 VD: Hậu Giang / Huyện Châu Thành / Xã Đông Phước A
8. Điền Địa chỉ
 VD: abc
9. Bấm "Lưu"</t>
  </si>
  <si>
    <t>Hệ thống hiển thị thông báo "Vui lòng nhập phần đứng sau '@'. 'anh1@' không hoàn chỉnh."
Cập nhật thất bại</t>
  </si>
  <si>
    <t>Hệ thống hiển thị thông báo "Phần đứng sau '@' không được chứa biểu tượng '@'."
Cập nhật thất bại</t>
  </si>
  <si>
    <t>Hệ thống hiển thị thông báo ".' bị sử dụng sai vị trí trong 'gmail.'."
Cập nhật thất bại</t>
  </si>
  <si>
    <t>Hiển thị thông báo "Vui lòng điền vào trường này."
Cập nhật thất bại</t>
  </si>
  <si>
    <t>Hiển thị thông báo "Số điện thoại không hợp lệ"
Cập nhật thất bại</t>
  </si>
  <si>
    <t>1. Nhập Tên đăng nhập hợp lệ
VD: Nguyen_Pham_Nhat_Anh
2. Nhập SĐT
VD: 0359694333
3. Nhập Mật khẩu hợp lệ (8 &lt; Mật khẩu &lt; 20)
VD: Abcde12345
3. Nhập lại đúng Nhắc lại mật khẩu
VD: Abcde12345
4. Nhấn “Đăng ký”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</si>
</sst>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name val="Times New Roman"/>
      <charset val="134"/>
    </font>
    <font>
      <b/>
      <u/>
      <sz val="13"/>
      <color indexed="12"/>
      <name val="Times New Roman"/>
      <charset val="134"/>
    </font>
    <font>
      <b/>
      <sz val="13"/>
      <name val="Times New Roman"/>
      <charset val="134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b/>
      <sz val="13"/>
      <color rgb="FF000000"/>
      <name val="Times New Roman"/>
      <charset val="134"/>
    </font>
    <font>
      <sz val="12"/>
      <color theme="1"/>
      <name val="Times New Roman"/>
      <charset val="134"/>
    </font>
    <font>
      <u/>
      <sz val="11"/>
      <color theme="10"/>
      <name val="Calibri"/>
      <charset val="134"/>
      <scheme val="minor"/>
    </font>
    <font>
      <sz val="11"/>
      <name val="ＭＳ Ｐゴシック"/>
      <charset val="128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8"/>
      <name val="Calibri"/>
      <charset val="134"/>
      <scheme val="minor"/>
    </font>
    <font>
      <b/>
      <sz val="13"/>
      <name val="Times New Roman"/>
      <family val="1"/>
    </font>
    <font>
      <b/>
      <sz val="11"/>
      <color theme="1"/>
      <name val="Times New Roman"/>
      <family val="1"/>
    </font>
    <font>
      <b/>
      <u/>
      <sz val="13"/>
      <color indexed="12"/>
      <name val="Times  New Roman"/>
    </font>
    <font>
      <sz val="13"/>
      <name val="Times  New Roman"/>
    </font>
    <font>
      <b/>
      <sz val="13"/>
      <name val="Times  New Roman"/>
    </font>
    <font>
      <b/>
      <sz val="13"/>
      <color rgb="FF000000"/>
      <name val="Times  New Roman"/>
    </font>
    <font>
      <b/>
      <sz val="13"/>
      <color theme="1"/>
      <name val="Times  New Roman"/>
    </font>
    <font>
      <sz val="11"/>
      <color theme="1"/>
      <name val="Times  New Roman"/>
    </font>
    <font>
      <sz val="13"/>
      <color theme="1"/>
      <name val="Times  New Roman"/>
    </font>
    <font>
      <sz val="12"/>
      <color theme="1"/>
      <name val="Times New Roman"/>
      <family val="1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55"/>
      </patternFill>
    </fill>
    <fill>
      <patternFill patternType="solid">
        <fgColor theme="0"/>
        <bgColor indexed="55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4">
    <xf numFmtId="0" fontId="0" fillId="0" borderId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/>
    <xf numFmtId="9" fontId="27" fillId="0" borderId="0" applyFont="0" applyFill="0" applyBorder="0" applyAlignment="0" applyProtection="0"/>
  </cellStyleXfs>
  <cellXfs count="99">
    <xf numFmtId="0" fontId="0" fillId="0" borderId="0" xfId="0">
      <alignment vertical="center"/>
    </xf>
    <xf numFmtId="0" fontId="3" fillId="0" borderId="0" xfId="0" applyFont="1" applyAlignment="1"/>
    <xf numFmtId="0" fontId="4" fillId="2" borderId="1" xfId="1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5" fillId="2" borderId="1" xfId="2" applyFont="1" applyFill="1" applyBorder="1" applyAlignment="1">
      <alignment horizontal="left" vertical="top" wrapText="1"/>
    </xf>
    <xf numFmtId="0" fontId="3" fillId="2" borderId="1" xfId="2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vertical="top" wrapText="1"/>
    </xf>
    <xf numFmtId="2" fontId="3" fillId="3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8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9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7" fillId="2" borderId="1" xfId="2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1" xfId="0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 wrapText="1"/>
    </xf>
    <xf numFmtId="0" fontId="19" fillId="2" borderId="1" xfId="1" applyFont="1" applyFill="1" applyBorder="1" applyAlignment="1">
      <alignment horizontal="left" vertical="top" wrapText="1"/>
    </xf>
    <xf numFmtId="0" fontId="20" fillId="2" borderId="1" xfId="0" applyFont="1" applyFill="1" applyBorder="1" applyAlignment="1">
      <alignment horizontal="left" vertical="top" wrapText="1"/>
    </xf>
    <xf numFmtId="0" fontId="20" fillId="2" borderId="1" xfId="0" applyFont="1" applyFill="1" applyBorder="1" applyAlignment="1">
      <alignment vertical="top" wrapText="1"/>
    </xf>
    <xf numFmtId="0" fontId="20" fillId="3" borderId="1" xfId="0" applyFont="1" applyFill="1" applyBorder="1" applyAlignment="1">
      <alignment vertical="top" wrapText="1"/>
    </xf>
    <xf numFmtId="0" fontId="20" fillId="0" borderId="0" xfId="0" applyFont="1" applyAlignment="1"/>
    <xf numFmtId="0" fontId="21" fillId="2" borderId="1" xfId="2" applyFont="1" applyFill="1" applyBorder="1" applyAlignment="1">
      <alignment horizontal="left" vertical="top" wrapText="1"/>
    </xf>
    <xf numFmtId="0" fontId="20" fillId="2" borderId="1" xfId="2" applyFont="1" applyFill="1" applyBorder="1" applyAlignment="1">
      <alignment horizontal="left" vertical="top" wrapText="1"/>
    </xf>
    <xf numFmtId="2" fontId="20" fillId="2" borderId="1" xfId="0" applyNumberFormat="1" applyFont="1" applyFill="1" applyBorder="1" applyAlignment="1">
      <alignment vertical="top" wrapText="1"/>
    </xf>
    <xf numFmtId="2" fontId="20" fillId="3" borderId="1" xfId="0" applyNumberFormat="1" applyFont="1" applyFill="1" applyBorder="1" applyAlignment="1">
      <alignment vertical="top" wrapText="1"/>
    </xf>
    <xf numFmtId="0" fontId="23" fillId="5" borderId="1" xfId="0" applyFont="1" applyFill="1" applyBorder="1" applyAlignment="1">
      <alignment horizontal="center" vertical="center" wrapText="1"/>
    </xf>
    <xf numFmtId="0" fontId="23" fillId="5" borderId="2" xfId="0" applyFont="1" applyFill="1" applyBorder="1" applyAlignment="1">
      <alignment horizontal="center" vertical="center" wrapText="1"/>
    </xf>
    <xf numFmtId="0" fontId="23" fillId="5" borderId="5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0" fontId="24" fillId="0" borderId="0" xfId="0" applyFont="1">
      <alignment vertical="center"/>
    </xf>
    <xf numFmtId="0" fontId="25" fillId="0" borderId="0" xfId="0" applyFont="1" applyAlignment="1">
      <alignment horizontal="left" vertical="center" wrapText="1"/>
    </xf>
    <xf numFmtId="0" fontId="25" fillId="0" borderId="0" xfId="0" applyFont="1">
      <alignment vertical="center"/>
    </xf>
    <xf numFmtId="0" fontId="25" fillId="0" borderId="0" xfId="0" applyFont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4" borderId="0" xfId="0" applyFont="1" applyFill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14" fillId="0" borderId="1" xfId="0" applyFont="1" applyBorder="1">
      <alignment vertical="center"/>
    </xf>
    <xf numFmtId="0" fontId="26" fillId="0" borderId="1" xfId="0" applyFont="1" applyBorder="1" applyAlignment="1">
      <alignment vertical="center" wrapText="1"/>
    </xf>
    <xf numFmtId="0" fontId="20" fillId="0" borderId="0" xfId="0" applyFont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6" fillId="0" borderId="0" xfId="0" applyFont="1">
      <alignment vertical="center"/>
    </xf>
    <xf numFmtId="0" fontId="2" fillId="0" borderId="0" xfId="0" applyFont="1">
      <alignment vertical="center"/>
    </xf>
    <xf numFmtId="0" fontId="18" fillId="7" borderId="1" xfId="0" applyFont="1" applyFill="1" applyBorder="1" applyAlignment="1">
      <alignment horizontal="center" vertical="center"/>
    </xf>
    <xf numFmtId="9" fontId="18" fillId="7" borderId="1" xfId="3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9" fontId="18" fillId="10" borderId="1" xfId="3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9" fontId="18" fillId="11" borderId="1" xfId="3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9" fontId="18" fillId="12" borderId="1" xfId="3" applyFont="1" applyFill="1" applyBorder="1" applyAlignment="1">
      <alignment horizontal="center" vertical="center"/>
    </xf>
    <xf numFmtId="9" fontId="18" fillId="8" borderId="1" xfId="3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left" vertical="center" wrapText="1"/>
    </xf>
    <xf numFmtId="0" fontId="25" fillId="0" borderId="0" xfId="0" applyFont="1" applyBorder="1" applyAlignment="1">
      <alignment horizontal="left" vertical="center" wrapText="1"/>
    </xf>
    <xf numFmtId="0" fontId="14" fillId="0" borderId="0" xfId="0" applyFont="1" applyBorder="1" applyAlignment="1">
      <alignment vertical="center" wrapText="1"/>
    </xf>
    <xf numFmtId="0" fontId="25" fillId="0" borderId="0" xfId="0" applyFont="1" applyBorder="1" applyAlignment="1">
      <alignment vertical="center" wrapText="1"/>
    </xf>
    <xf numFmtId="0" fontId="14" fillId="0" borderId="0" xfId="0" applyFont="1" applyBorder="1" applyAlignment="1">
      <alignment horizontal="center" vertical="center" wrapText="1"/>
    </xf>
    <xf numFmtId="0" fontId="25" fillId="0" borderId="0" xfId="0" applyFont="1" applyBorder="1">
      <alignment vertical="center"/>
    </xf>
    <xf numFmtId="0" fontId="14" fillId="0" borderId="7" xfId="0" applyFont="1" applyBorder="1" applyAlignment="1">
      <alignment horizontal="left" vertical="center" wrapText="1"/>
    </xf>
    <xf numFmtId="0" fontId="25" fillId="0" borderId="7" xfId="0" applyFont="1" applyBorder="1" applyAlignment="1">
      <alignment horizontal="left" vertical="center" wrapText="1"/>
    </xf>
    <xf numFmtId="0" fontId="14" fillId="0" borderId="7" xfId="0" applyFont="1" applyBorder="1" applyAlignment="1">
      <alignment vertical="center" wrapText="1"/>
    </xf>
    <xf numFmtId="0" fontId="25" fillId="0" borderId="7" xfId="0" applyFont="1" applyBorder="1" applyAlignment="1">
      <alignment vertical="center" wrapText="1"/>
    </xf>
    <xf numFmtId="0" fontId="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6" fillId="0" borderId="0" xfId="0" applyFont="1" applyBorder="1" applyAlignment="1">
      <alignment vertical="center" wrapText="1"/>
    </xf>
    <xf numFmtId="0" fontId="26" fillId="0" borderId="2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3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25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8" fillId="8" borderId="1" xfId="0" applyFont="1" applyFill="1" applyBorder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6" xfId="0" applyFont="1" applyFill="1" applyBorder="1" applyAlignment="1">
      <alignment horizontal="center" vertical="center"/>
    </xf>
  </cellXfs>
  <cellStyles count="4">
    <cellStyle name="Hyperlink" xfId="1" builtinId="8"/>
    <cellStyle name="Normal" xfId="0" builtinId="0"/>
    <cellStyle name="Normal_Sheet1" xfId="2"/>
    <cellStyle name="Percent" xfId="3" builtinId="5"/>
  </cellStyles>
  <dxfs count="35"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34"/>
      <tableStyleElement type="headerRow" dxfId="33"/>
      <tableStyleElement type="totalRow" dxfId="32"/>
      <tableStyleElement type="firstColumn" dxfId="31"/>
      <tableStyleElement type="lastColumn" dxfId="30"/>
      <tableStyleElement type="firstRowStripe" dxfId="29"/>
      <tableStyleElement type="firstColumnStripe" dxfId="28"/>
    </tableStyle>
    <tableStyle name="PivotStylePreset2_Accent1" table="0" count="10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colors>
    <mruColors>
      <color rgb="FFFF7C80"/>
      <color rgb="FFFF84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opLeftCell="C1" zoomScale="130" zoomScaleNormal="130" workbookViewId="0">
      <selection activeCell="F10" sqref="F10"/>
    </sheetView>
  </sheetViews>
  <sheetFormatPr defaultColWidth="9" defaultRowHeight="14"/>
  <cols>
    <col min="1" max="1" width="10.26953125" style="58" customWidth="1"/>
    <col min="2" max="2" width="24" style="58" customWidth="1"/>
    <col min="3" max="3" width="19.90625" style="58" customWidth="1"/>
    <col min="4" max="4" width="18.453125" style="59" customWidth="1"/>
    <col min="5" max="5" width="17.81640625" style="58" customWidth="1"/>
    <col min="6" max="7" width="9" style="58"/>
    <col min="8" max="8" width="5.54296875" style="58" bestFit="1" customWidth="1"/>
    <col min="9" max="9" width="9.36328125" style="58" bestFit="1" customWidth="1"/>
    <col min="10" max="16384" width="9" style="58"/>
  </cols>
  <sheetData>
    <row r="1" spans="1:7" ht="22" customHeight="1">
      <c r="A1" s="28" t="s">
        <v>0</v>
      </c>
      <c r="B1" s="28" t="s">
        <v>1</v>
      </c>
      <c r="C1" s="28" t="s">
        <v>2</v>
      </c>
      <c r="D1" s="28" t="s">
        <v>3</v>
      </c>
      <c r="E1" s="28" t="s">
        <v>33</v>
      </c>
      <c r="F1" s="28" t="s">
        <v>50</v>
      </c>
      <c r="G1" s="28" t="s">
        <v>53</v>
      </c>
    </row>
    <row r="2" spans="1:7">
      <c r="A2" s="26">
        <v>1</v>
      </c>
      <c r="B2" s="27" t="s">
        <v>4</v>
      </c>
      <c r="C2" s="26">
        <v>8</v>
      </c>
      <c r="D2" s="26">
        <v>7</v>
      </c>
      <c r="E2" s="26">
        <v>1</v>
      </c>
      <c r="F2" s="60">
        <v>8</v>
      </c>
      <c r="G2" s="60">
        <v>0</v>
      </c>
    </row>
    <row r="3" spans="1:7">
      <c r="A3" s="26">
        <v>2</v>
      </c>
      <c r="B3" s="27" t="s">
        <v>5</v>
      </c>
      <c r="C3" s="26">
        <v>14</v>
      </c>
      <c r="D3" s="26">
        <v>12</v>
      </c>
      <c r="E3" s="26">
        <v>2</v>
      </c>
      <c r="F3" s="60">
        <v>14</v>
      </c>
      <c r="G3" s="60">
        <v>0</v>
      </c>
    </row>
    <row r="4" spans="1:7">
      <c r="A4" s="26">
        <v>3</v>
      </c>
      <c r="B4" s="27" t="s">
        <v>6</v>
      </c>
      <c r="C4" s="26">
        <v>11</v>
      </c>
      <c r="D4" s="26">
        <v>10</v>
      </c>
      <c r="E4" s="26">
        <v>2</v>
      </c>
      <c r="F4" s="60">
        <v>11</v>
      </c>
      <c r="G4" s="60">
        <v>0</v>
      </c>
    </row>
    <row r="5" spans="1:7">
      <c r="A5" s="26">
        <v>3</v>
      </c>
      <c r="B5" s="27" t="s">
        <v>7</v>
      </c>
      <c r="C5" s="26">
        <v>14</v>
      </c>
      <c r="D5" s="26">
        <v>10</v>
      </c>
      <c r="E5" s="26">
        <v>4</v>
      </c>
      <c r="F5" s="60">
        <v>14</v>
      </c>
      <c r="G5" s="60">
        <v>0</v>
      </c>
    </row>
    <row r="7" spans="1:7" s="59" customFormat="1" ht="27.5" customHeight="1">
      <c r="A7" s="97" t="s">
        <v>8</v>
      </c>
      <c r="B7" s="98"/>
      <c r="C7" s="28">
        <f>SUM(C2:C5)</f>
        <v>47</v>
      </c>
      <c r="D7" s="63">
        <f>SUM(D2:D5)</f>
        <v>39</v>
      </c>
      <c r="E7" s="65">
        <f>SUM(E2:E5)</f>
        <v>9</v>
      </c>
      <c r="F7" s="67">
        <f>SUM(F2:F5)</f>
        <v>47</v>
      </c>
      <c r="G7" s="69">
        <f>SUM(G2:G5)</f>
        <v>0</v>
      </c>
    </row>
    <row r="8" spans="1:7" ht="14.5" customHeight="1">
      <c r="A8" s="96" t="s">
        <v>61</v>
      </c>
      <c r="B8" s="96"/>
      <c r="C8" s="71">
        <f>C7/$C$7</f>
        <v>1</v>
      </c>
      <c r="D8" s="64">
        <f>D7/$C$7</f>
        <v>0.82978723404255317</v>
      </c>
      <c r="E8" s="66">
        <f>E7/$C$7</f>
        <v>0.19148936170212766</v>
      </c>
      <c r="F8" s="68">
        <f>F7/$C$7</f>
        <v>1</v>
      </c>
      <c r="G8" s="70">
        <f>G7/$C$7</f>
        <v>0</v>
      </c>
    </row>
    <row r="9" spans="1:7">
      <c r="B9" s="59"/>
    </row>
    <row r="10" spans="1:7">
      <c r="B10" s="59"/>
    </row>
    <row r="17" spans="11:12">
      <c r="K17" s="59" t="s">
        <v>52</v>
      </c>
      <c r="L17" s="58" t="s">
        <v>55</v>
      </c>
    </row>
    <row r="18" spans="11:12">
      <c r="K18" s="59" t="s">
        <v>51</v>
      </c>
      <c r="L18" s="58" t="s">
        <v>56</v>
      </c>
    </row>
  </sheetData>
  <mergeCells count="2">
    <mergeCell ref="A8:B8"/>
    <mergeCell ref="A7:B7"/>
  </mergeCells>
  <phoneticPr fontId="13" type="noConversion"/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4D3815A5-E425-416B-BF06-D1C62615CAD5}">
            <xm:f>NOT(ISERROR(SEARCH($B$9,B9)))</xm:f>
            <xm:f>$B$9</xm:f>
            <x14:dxf>
              <font>
                <color auto="1"/>
              </font>
              <fill>
                <patternFill>
                  <bgColor theme="9" tint="0.39994506668294322"/>
                </patternFill>
              </fill>
            </x14:dxf>
          </x14:cfRule>
          <xm:sqref>B9:B10</xm:sqref>
        </x14:conditionalFormatting>
        <x14:conditionalFormatting xmlns:xm="http://schemas.microsoft.com/office/excel/2006/main">
          <x14:cfRule type="containsText" priority="3" operator="containsText" id="{E31D92C5-71C6-45B1-845A-3E71CDBFAE44}">
            <xm:f>NOT(ISERROR(SEARCH($B$10,B10)))</xm:f>
            <xm:f>$B$10</xm:f>
            <x14:dxf>
              <fill>
                <patternFill>
                  <bgColor rgb="FFFF7C80"/>
                </patternFill>
              </fill>
            </x14:dxf>
          </x14:cfRule>
          <xm:sqref>B10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K38"/>
  <sheetViews>
    <sheetView zoomScale="55" zoomScaleNormal="55" workbookViewId="0">
      <selection activeCell="B11" sqref="B11"/>
    </sheetView>
  </sheetViews>
  <sheetFormatPr defaultColWidth="8.90625" defaultRowHeight="16.5"/>
  <cols>
    <col min="1" max="1" width="17.36328125" style="42" customWidth="1"/>
    <col min="2" max="2" width="23.54296875" style="44" customWidth="1"/>
    <col min="3" max="3" width="38.90625" style="44" customWidth="1"/>
    <col min="4" max="4" width="24.54296875" style="44" customWidth="1"/>
    <col min="5" max="5" width="41.1796875" style="44" customWidth="1"/>
    <col min="6" max="6" width="30.90625" style="44" customWidth="1"/>
    <col min="7" max="7" width="31.6328125" style="44" customWidth="1"/>
    <col min="8" max="8" width="11.453125" style="45" customWidth="1"/>
    <col min="9" max="9" width="9.6328125" style="42" customWidth="1"/>
    <col min="10" max="16384" width="8.90625" style="44"/>
  </cols>
  <sheetData>
    <row r="1" spans="1:11" s="34" customFormat="1" ht="46" customHeight="1">
      <c r="A1" s="30" t="s">
        <v>9</v>
      </c>
      <c r="B1" s="30" t="s">
        <v>10</v>
      </c>
      <c r="C1" s="30"/>
      <c r="D1" s="31" t="e">
        <f>"Pass: "&amp;COUNTIF(#REF!,"Pass")</f>
        <v>#REF!</v>
      </c>
      <c r="E1" s="32" t="e">
        <f>"Untested: "&amp;COUNTIF(#REF!,"Untest")</f>
        <v>#REF!</v>
      </c>
      <c r="F1" s="33"/>
      <c r="I1" s="56"/>
    </row>
    <row r="2" spans="1:11" s="34" customFormat="1" ht="28" customHeight="1">
      <c r="A2" s="35" t="s">
        <v>11</v>
      </c>
      <c r="B2" s="36" t="s">
        <v>12</v>
      </c>
      <c r="C2" s="36"/>
      <c r="D2" s="31" t="e">
        <f>"Fail: "&amp;COUNTIF(#REF!,"Fail")</f>
        <v>#REF!</v>
      </c>
      <c r="E2" s="32" t="e">
        <f>"N/A: "&amp;COUNTIF(#REF!,"N/A")</f>
        <v>#REF!</v>
      </c>
      <c r="F2" s="33"/>
      <c r="I2" s="56"/>
    </row>
    <row r="3" spans="1:11" s="34" customFormat="1" ht="28" customHeight="1">
      <c r="A3" s="35" t="s">
        <v>13</v>
      </c>
      <c r="B3" s="35" t="s">
        <v>29</v>
      </c>
      <c r="C3" s="35"/>
      <c r="D3" s="31" t="e">
        <f>"Percent Complete: "&amp;ROUND((COUNTIF(#REF!,"Pass")*100)/((COUNTA($A$5:$A$957)*5)-COUNTIF(#REF!,"N/A")),2)&amp;"%"</f>
        <v>#REF!</v>
      </c>
      <c r="E3" s="37" t="str">
        <f>"Number of cases: "&amp;(COUNTA($A$5:$A$957))</f>
        <v>Number of cases: 8</v>
      </c>
      <c r="F3" s="38"/>
      <c r="I3" s="56"/>
    </row>
    <row r="4" spans="1:11" s="42" customFormat="1" ht="42" customHeight="1">
      <c r="A4" s="51" t="s">
        <v>14</v>
      </c>
      <c r="B4" s="39" t="s">
        <v>15</v>
      </c>
      <c r="C4" s="39" t="s">
        <v>16</v>
      </c>
      <c r="D4" s="39" t="s">
        <v>17</v>
      </c>
      <c r="E4" s="40" t="s">
        <v>18</v>
      </c>
      <c r="F4" s="39" t="s">
        <v>19</v>
      </c>
      <c r="G4" s="39" t="s">
        <v>20</v>
      </c>
      <c r="H4" s="41" t="s">
        <v>21</v>
      </c>
      <c r="I4" s="52" t="s">
        <v>22</v>
      </c>
    </row>
    <row r="5" spans="1:11" ht="88.5" customHeight="1">
      <c r="A5" s="48" t="s">
        <v>62</v>
      </c>
      <c r="B5" s="48" t="s">
        <v>23</v>
      </c>
      <c r="C5" s="50" t="s">
        <v>24</v>
      </c>
      <c r="D5" s="50" t="s">
        <v>25</v>
      </c>
      <c r="E5" s="43" t="s">
        <v>184</v>
      </c>
      <c r="F5" s="43" t="s">
        <v>102</v>
      </c>
      <c r="G5" s="43" t="s">
        <v>102</v>
      </c>
      <c r="H5" s="48" t="s">
        <v>52</v>
      </c>
      <c r="I5" s="48" t="s">
        <v>55</v>
      </c>
    </row>
    <row r="6" spans="1:11" ht="95" customHeight="1">
      <c r="A6" s="48" t="s">
        <v>63</v>
      </c>
      <c r="B6" s="48" t="s">
        <v>49</v>
      </c>
      <c r="C6" s="50" t="s">
        <v>24</v>
      </c>
      <c r="D6" s="50" t="s">
        <v>25</v>
      </c>
      <c r="E6" s="43" t="s">
        <v>185</v>
      </c>
      <c r="F6" s="43" t="s">
        <v>102</v>
      </c>
      <c r="G6" s="43" t="s">
        <v>102</v>
      </c>
      <c r="H6" s="48" t="s">
        <v>52</v>
      </c>
      <c r="I6" s="48" t="s">
        <v>55</v>
      </c>
    </row>
    <row r="7" spans="1:11" ht="95" customHeight="1">
      <c r="A7" s="48" t="s">
        <v>64</v>
      </c>
      <c r="B7" s="48" t="s">
        <v>23</v>
      </c>
      <c r="C7" s="50" t="s">
        <v>24</v>
      </c>
      <c r="D7" s="50" t="s">
        <v>25</v>
      </c>
      <c r="E7" s="43" t="s">
        <v>186</v>
      </c>
      <c r="F7" s="43" t="s">
        <v>102</v>
      </c>
      <c r="G7" s="43" t="s">
        <v>102</v>
      </c>
      <c r="H7" s="48" t="s">
        <v>52</v>
      </c>
      <c r="I7" s="48" t="s">
        <v>55</v>
      </c>
    </row>
    <row r="8" spans="1:11" ht="80" customHeight="1">
      <c r="A8" s="48" t="s">
        <v>65</v>
      </c>
      <c r="B8" s="48" t="s">
        <v>187</v>
      </c>
      <c r="C8" s="50" t="s">
        <v>188</v>
      </c>
      <c r="D8" s="50" t="s">
        <v>34</v>
      </c>
      <c r="E8" s="43" t="s">
        <v>189</v>
      </c>
      <c r="F8" s="43" t="s">
        <v>190</v>
      </c>
      <c r="G8" s="43" t="s">
        <v>190</v>
      </c>
      <c r="H8" s="48" t="s">
        <v>52</v>
      </c>
      <c r="I8" s="48" t="s">
        <v>55</v>
      </c>
    </row>
    <row r="9" spans="1:11" s="46" customFormat="1" ht="87.5" customHeight="1">
      <c r="A9" s="48" t="s">
        <v>66</v>
      </c>
      <c r="B9" s="48" t="s">
        <v>179</v>
      </c>
      <c r="C9" s="50" t="s">
        <v>180</v>
      </c>
      <c r="D9" s="50" t="s">
        <v>34</v>
      </c>
      <c r="E9" s="43" t="s">
        <v>191</v>
      </c>
      <c r="F9" s="43" t="s">
        <v>181</v>
      </c>
      <c r="G9" s="43" t="s">
        <v>103</v>
      </c>
      <c r="H9" s="48" t="s">
        <v>51</v>
      </c>
      <c r="I9" s="48" t="s">
        <v>55</v>
      </c>
    </row>
    <row r="10" spans="1:11" s="46" customFormat="1" ht="82.5">
      <c r="A10" s="48" t="s">
        <v>67</v>
      </c>
      <c r="B10" s="48" t="s">
        <v>192</v>
      </c>
      <c r="C10" s="50" t="s">
        <v>182</v>
      </c>
      <c r="D10" s="50" t="s">
        <v>34</v>
      </c>
      <c r="E10" s="43" t="s">
        <v>184</v>
      </c>
      <c r="F10" s="43" t="s">
        <v>190</v>
      </c>
      <c r="G10" s="43" t="s">
        <v>190</v>
      </c>
      <c r="H10" s="48" t="s">
        <v>52</v>
      </c>
      <c r="I10" s="48" t="s">
        <v>55</v>
      </c>
    </row>
    <row r="11" spans="1:11" s="46" customFormat="1" ht="82.5">
      <c r="A11" s="48" t="s">
        <v>68</v>
      </c>
      <c r="B11" s="48" t="s">
        <v>193</v>
      </c>
      <c r="C11" s="25" t="s">
        <v>35</v>
      </c>
      <c r="D11" s="50" t="s">
        <v>34</v>
      </c>
      <c r="E11" s="43" t="s">
        <v>194</v>
      </c>
      <c r="F11" s="43" t="s">
        <v>104</v>
      </c>
      <c r="G11" s="43" t="s">
        <v>104</v>
      </c>
      <c r="H11" s="48" t="s">
        <v>52</v>
      </c>
      <c r="I11" s="48" t="s">
        <v>55</v>
      </c>
    </row>
    <row r="12" spans="1:11" s="46" customFormat="1" ht="82.5">
      <c r="A12" s="48" t="s">
        <v>69</v>
      </c>
      <c r="B12" s="48" t="s">
        <v>183</v>
      </c>
      <c r="C12" s="25" t="s">
        <v>35</v>
      </c>
      <c r="D12" s="50" t="s">
        <v>34</v>
      </c>
      <c r="E12" s="43" t="s">
        <v>195</v>
      </c>
      <c r="F12" s="43" t="s">
        <v>104</v>
      </c>
      <c r="G12" s="43" t="s">
        <v>104</v>
      </c>
      <c r="H12" s="48" t="s">
        <v>52</v>
      </c>
      <c r="I12" s="48" t="s">
        <v>55</v>
      </c>
    </row>
    <row r="13" spans="1:11" s="46" customFormat="1">
      <c r="A13" s="73"/>
      <c r="B13" s="74"/>
      <c r="C13" s="83"/>
      <c r="D13" s="84"/>
      <c r="E13" s="85"/>
      <c r="F13" s="86"/>
      <c r="G13" s="86"/>
      <c r="H13" s="74"/>
      <c r="I13" s="74"/>
      <c r="J13" s="82"/>
      <c r="K13" s="82"/>
    </row>
    <row r="14" spans="1:11" s="46" customFormat="1">
      <c r="A14" s="75"/>
      <c r="B14" s="75"/>
      <c r="C14" s="77"/>
      <c r="D14" s="78"/>
      <c r="E14" s="79"/>
      <c r="F14" s="80"/>
      <c r="G14" s="80"/>
      <c r="H14" s="75"/>
      <c r="I14" s="75"/>
      <c r="J14" s="82"/>
      <c r="K14" s="82"/>
    </row>
    <row r="15" spans="1:11" s="46" customFormat="1">
      <c r="A15" s="75"/>
      <c r="B15" s="75"/>
      <c r="C15" s="77"/>
      <c r="D15" s="78"/>
      <c r="E15" s="79"/>
      <c r="F15" s="80"/>
      <c r="G15" s="80"/>
      <c r="H15" s="75"/>
      <c r="I15" s="75"/>
      <c r="J15" s="82"/>
      <c r="K15" s="82"/>
    </row>
    <row r="16" spans="1:11" s="46" customFormat="1">
      <c r="A16" s="75"/>
      <c r="B16" s="75"/>
      <c r="C16" s="77"/>
      <c r="D16" s="78"/>
      <c r="E16" s="79"/>
      <c r="F16" s="80"/>
      <c r="G16" s="80"/>
      <c r="H16" s="75"/>
      <c r="I16" s="75"/>
      <c r="J16" s="82"/>
      <c r="K16" s="82"/>
    </row>
    <row r="17" spans="1:9" s="46" customFormat="1">
      <c r="A17" s="75"/>
      <c r="B17" s="75"/>
      <c r="C17" s="77"/>
      <c r="D17" s="78"/>
      <c r="E17" s="79"/>
      <c r="F17" s="80"/>
      <c r="G17" s="80"/>
      <c r="H17" s="75"/>
      <c r="I17" s="75"/>
    </row>
    <row r="18" spans="1:9" s="46" customFormat="1">
      <c r="A18" s="75"/>
      <c r="B18" s="75"/>
      <c r="C18" s="77"/>
      <c r="D18" s="78"/>
      <c r="E18" s="79"/>
      <c r="F18" s="80"/>
      <c r="G18" s="80"/>
      <c r="H18" s="75"/>
      <c r="I18" s="75"/>
    </row>
    <row r="19" spans="1:9" ht="16.5" customHeight="1">
      <c r="A19" s="75"/>
      <c r="B19" s="81"/>
      <c r="C19" s="77"/>
      <c r="D19" s="77"/>
      <c r="E19" s="79"/>
      <c r="F19" s="79"/>
      <c r="G19" s="79"/>
      <c r="H19" s="75"/>
      <c r="I19" s="75"/>
    </row>
    <row r="20" spans="1:9">
      <c r="A20" s="49"/>
      <c r="B20" s="53"/>
      <c r="C20" s="53"/>
      <c r="D20" s="53"/>
      <c r="E20" s="53"/>
      <c r="F20" s="53"/>
      <c r="G20" s="53"/>
      <c r="I20" s="49"/>
    </row>
    <row r="21" spans="1:9">
      <c r="A21" s="49"/>
      <c r="B21" s="53"/>
      <c r="C21" s="53"/>
      <c r="D21" s="53"/>
      <c r="E21" s="53"/>
      <c r="F21" s="53"/>
      <c r="G21" s="53"/>
      <c r="I21" s="49"/>
    </row>
    <row r="22" spans="1:9">
      <c r="A22" s="49"/>
      <c r="B22" s="53"/>
      <c r="C22" s="53"/>
      <c r="D22" s="53"/>
      <c r="E22" s="53"/>
      <c r="F22" s="53"/>
      <c r="G22" s="53"/>
      <c r="I22" s="49"/>
    </row>
    <row r="23" spans="1:9">
      <c r="A23" s="49"/>
      <c r="B23" s="53"/>
      <c r="C23" s="53"/>
      <c r="D23" s="53"/>
      <c r="E23" s="53"/>
      <c r="F23" s="53"/>
      <c r="G23" s="53"/>
      <c r="I23" s="49"/>
    </row>
    <row r="24" spans="1:9">
      <c r="A24" s="49"/>
      <c r="B24" s="53"/>
      <c r="C24" s="53"/>
      <c r="D24" s="53"/>
      <c r="E24" s="53"/>
      <c r="F24" s="53"/>
      <c r="G24" s="53"/>
      <c r="I24" s="49"/>
    </row>
    <row r="25" spans="1:9">
      <c r="A25" s="49"/>
      <c r="B25" s="53"/>
      <c r="C25" s="53"/>
      <c r="D25" s="53"/>
      <c r="E25" s="53"/>
      <c r="F25" s="53"/>
      <c r="G25" s="53"/>
      <c r="I25" s="49"/>
    </row>
    <row r="26" spans="1:9">
      <c r="A26" s="49"/>
      <c r="B26" s="53"/>
      <c r="C26" s="53"/>
      <c r="D26" s="53"/>
      <c r="E26" s="53"/>
      <c r="F26" s="53"/>
      <c r="G26" s="53"/>
      <c r="I26" s="49"/>
    </row>
    <row r="27" spans="1:9">
      <c r="A27" s="49"/>
      <c r="B27" s="53"/>
      <c r="C27" s="53"/>
      <c r="D27" s="53"/>
      <c r="E27" s="53"/>
      <c r="F27" s="53"/>
      <c r="G27" s="53"/>
      <c r="I27" s="49"/>
    </row>
    <row r="28" spans="1:9">
      <c r="A28" s="49"/>
      <c r="B28" s="53"/>
      <c r="C28" s="53"/>
      <c r="D28" s="53"/>
      <c r="E28" s="53"/>
      <c r="F28" s="53"/>
      <c r="G28" s="53"/>
      <c r="I28" s="49"/>
    </row>
    <row r="29" spans="1:9">
      <c r="A29" s="47"/>
      <c r="B29" s="46"/>
      <c r="C29" s="46"/>
      <c r="D29" s="46"/>
      <c r="E29" s="46"/>
      <c r="F29" s="46"/>
      <c r="G29" s="46"/>
      <c r="I29" s="47"/>
    </row>
    <row r="30" spans="1:9">
      <c r="A30" s="47"/>
      <c r="B30" s="46"/>
      <c r="C30" s="46"/>
      <c r="D30" s="46"/>
      <c r="E30" s="46"/>
      <c r="F30" s="46"/>
      <c r="G30" s="46"/>
      <c r="I30" s="47"/>
    </row>
    <row r="31" spans="1:9">
      <c r="A31" s="47"/>
      <c r="B31" s="46"/>
      <c r="C31" s="46"/>
      <c r="D31" s="46"/>
      <c r="E31" s="46"/>
      <c r="F31" s="46"/>
      <c r="G31" s="46"/>
      <c r="I31" s="47"/>
    </row>
    <row r="32" spans="1:9">
      <c r="A32" s="47"/>
      <c r="B32" s="46"/>
      <c r="C32" s="46"/>
      <c r="D32" s="46"/>
      <c r="E32" s="46"/>
      <c r="F32" s="46"/>
      <c r="G32" s="46"/>
      <c r="I32" s="47"/>
    </row>
    <row r="33" spans="1:9">
      <c r="A33" s="47"/>
      <c r="B33" s="46"/>
      <c r="C33" s="46"/>
      <c r="D33" s="46"/>
      <c r="E33" s="46"/>
      <c r="F33" s="46"/>
      <c r="G33" s="46"/>
      <c r="I33" s="47"/>
    </row>
    <row r="34" spans="1:9">
      <c r="A34" s="47"/>
      <c r="B34" s="46"/>
      <c r="C34" s="46"/>
      <c r="D34" s="46"/>
      <c r="E34" s="46"/>
      <c r="F34" s="46"/>
      <c r="G34" s="46"/>
      <c r="I34" s="47"/>
    </row>
    <row r="35" spans="1:9">
      <c r="A35" s="47"/>
      <c r="B35" s="46"/>
      <c r="C35" s="46"/>
      <c r="D35" s="46"/>
      <c r="E35" s="46"/>
      <c r="F35" s="46"/>
      <c r="G35" s="46"/>
      <c r="I35" s="47"/>
    </row>
    <row r="36" spans="1:9">
      <c r="A36" s="47"/>
      <c r="B36" s="46"/>
      <c r="C36" s="46"/>
      <c r="D36" s="46"/>
      <c r="E36" s="46"/>
      <c r="F36" s="46"/>
      <c r="G36" s="46"/>
      <c r="I36" s="47"/>
    </row>
    <row r="37" spans="1:9">
      <c r="A37" s="47"/>
      <c r="B37" s="46"/>
      <c r="C37" s="46"/>
      <c r="D37" s="46"/>
      <c r="E37" s="46"/>
      <c r="F37" s="46"/>
      <c r="G37" s="46"/>
      <c r="I37" s="47"/>
    </row>
    <row r="38" spans="1:9">
      <c r="A38" s="47"/>
      <c r="B38" s="46"/>
      <c r="C38" s="46"/>
      <c r="D38" s="46"/>
      <c r="E38" s="46"/>
      <c r="F38" s="46"/>
      <c r="G38" s="46"/>
      <c r="I38" s="47"/>
    </row>
  </sheetData>
  <phoneticPr fontId="16" type="noConversion"/>
  <hyperlinks>
    <hyperlink ref="A1" location="'Test report'!A1" display="Back to TestReport"/>
    <hyperlink ref="B1" location="BugList!A1" display="To Buglist"/>
  </hyperlinks>
  <pageMargins left="0.75" right="0.75" top="1" bottom="1" header="0.5" footer="0.5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EA0FB0CC-DEE3-4298-A7DB-71C631DE29FC}">
            <xm:f>NOT(ISERROR(SEARCH(Chung!$K$18,H5)))</xm:f>
            <xm:f>Chung!$K$18</xm:f>
            <x14:dxf>
              <fill>
                <patternFill>
                  <bgColor rgb="FFFF7C80"/>
                </patternFill>
              </fill>
            </x14:dxf>
          </x14:cfRule>
          <x14:cfRule type="containsText" priority="7" operator="containsText" id="{2F8D11B2-60B9-4149-AA64-429B14713A96}">
            <xm:f>NOT(ISERROR(SEARCH(Chung!$K$17,H5)))</xm:f>
            <xm:f>Chung!$K$17</xm:f>
            <x14:dxf>
              <fill>
                <patternFill>
                  <bgColor theme="9" tint="0.39994506668294322"/>
                </patternFill>
              </fill>
            </x14:dxf>
          </x14:cfRule>
          <xm:sqref>H5:H19</xm:sqref>
        </x14:conditionalFormatting>
        <x14:conditionalFormatting xmlns:xm="http://schemas.microsoft.com/office/excel/2006/main">
          <x14:cfRule type="containsText" priority="8" operator="containsText" id="{17EE5443-D867-4E0A-B44E-A6955851D2A4}">
            <xm:f>NOT(ISERROR(SEARCH(Chung!$L$18,I5)))</xm:f>
            <xm:f>Chung!$L$18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" operator="containsText" id="{178B32A1-4D0F-4593-B37C-3EA88C1C1547}">
            <xm:f>NOT(ISERROR(SEARCH(Chung!$L$17,I5)))</xm:f>
            <xm:f>Chung!$L$17</xm:f>
            <x14:dxf>
              <fill>
                <patternFill>
                  <bgColor theme="7" tint="0.59996337778862885"/>
                </patternFill>
              </fill>
            </x14:dxf>
          </x14:cfRule>
          <xm:sqref>I5:I19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Chung!$K$17:$K$18</xm:f>
          </x14:formula1>
          <xm:sqref>H5:H19</xm:sqref>
        </x14:dataValidation>
        <x14:dataValidation type="list" allowBlank="1" showInputMessage="1" showErrorMessage="1">
          <x14:formula1>
            <xm:f>Chung!$L$17:$L$18</xm:f>
          </x14:formula1>
          <xm:sqref>I5:I19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I18"/>
  <sheetViews>
    <sheetView topLeftCell="A15" zoomScale="55" zoomScaleNormal="55" workbookViewId="0">
      <selection activeCell="A4" sqref="A4:I18"/>
    </sheetView>
  </sheetViews>
  <sheetFormatPr defaultColWidth="8.90625" defaultRowHeight="16.5"/>
  <cols>
    <col min="1" max="1" width="13.453125" customWidth="1"/>
    <col min="2" max="2" width="31" customWidth="1"/>
    <col min="3" max="3" width="37.36328125" customWidth="1"/>
    <col min="4" max="4" width="23.7265625" bestFit="1" customWidth="1"/>
    <col min="5" max="5" width="38.26953125" customWidth="1"/>
    <col min="6" max="6" width="26.08984375" customWidth="1"/>
    <col min="7" max="7" width="26.1796875" customWidth="1"/>
    <col min="8" max="8" width="8.90625" style="13"/>
    <col min="9" max="9" width="8.90625" style="12"/>
  </cols>
  <sheetData>
    <row r="1" spans="1:9" s="1" customFormat="1" ht="46" customHeight="1">
      <c r="A1" s="2" t="s">
        <v>9</v>
      </c>
      <c r="B1" s="2" t="s">
        <v>10</v>
      </c>
      <c r="C1" s="2"/>
      <c r="D1" s="3" t="e">
        <f>"Pass: "&amp;COUNTIF(#REF!,"Pass")</f>
        <v>#REF!</v>
      </c>
      <c r="E1" s="4" t="e">
        <f>"Untested: "&amp;COUNTIF(#REF!,"Untest")</f>
        <v>#REF!</v>
      </c>
      <c r="F1" s="5"/>
      <c r="I1" s="17"/>
    </row>
    <row r="2" spans="1:9" s="1" customFormat="1" ht="42.5" customHeight="1">
      <c r="A2" s="6" t="s">
        <v>11</v>
      </c>
      <c r="B2" s="7" t="s">
        <v>12</v>
      </c>
      <c r="C2" s="7"/>
      <c r="D2" s="3" t="e">
        <f>"Fail: "&amp;COUNTIF(#REF!,"Fail")</f>
        <v>#REF!</v>
      </c>
      <c r="E2" s="4" t="e">
        <f>"N/A: "&amp;COUNTIF(#REF!,"N/A")</f>
        <v>#REF!</v>
      </c>
      <c r="F2" s="5"/>
      <c r="I2" s="17"/>
    </row>
    <row r="3" spans="1:9" s="1" customFormat="1" ht="28" customHeight="1">
      <c r="A3" s="6" t="s">
        <v>13</v>
      </c>
      <c r="B3" s="22" t="s">
        <v>29</v>
      </c>
      <c r="C3" s="6"/>
      <c r="D3" s="3" t="e">
        <f>"Percent Complete: "&amp;ROUND((COUNTIF(#REF!,"Pass")*100)/((COUNTA($A$5:$A$950)*5)-COUNTIF(#REF!,"N/A")),2)&amp;"%"</f>
        <v>#REF!</v>
      </c>
      <c r="E3" s="8" t="str">
        <f>"Number of cases: "&amp;(COUNTA($A$5:$A$950))</f>
        <v>Number of cases: 14</v>
      </c>
      <c r="F3" s="9"/>
      <c r="I3" s="17"/>
    </row>
    <row r="4" spans="1:9" ht="37" customHeight="1">
      <c r="A4" s="87" t="s">
        <v>14</v>
      </c>
      <c r="B4" s="11" t="s">
        <v>15</v>
      </c>
      <c r="C4" s="11" t="s">
        <v>16</v>
      </c>
      <c r="D4" s="11" t="s">
        <v>17</v>
      </c>
      <c r="E4" s="11" t="s">
        <v>18</v>
      </c>
      <c r="F4" s="11" t="s">
        <v>19</v>
      </c>
      <c r="G4" s="11" t="s">
        <v>20</v>
      </c>
      <c r="H4" s="11" t="s">
        <v>21</v>
      </c>
      <c r="I4" s="88" t="s">
        <v>22</v>
      </c>
    </row>
    <row r="5" spans="1:9" s="24" customFormat="1" ht="165">
      <c r="A5" s="20" t="s">
        <v>70</v>
      </c>
      <c r="B5" s="19" t="s">
        <v>37</v>
      </c>
      <c r="C5" s="19" t="s">
        <v>36</v>
      </c>
      <c r="D5" s="19" t="s">
        <v>38</v>
      </c>
      <c r="E5" s="19" t="s">
        <v>234</v>
      </c>
      <c r="F5" s="19" t="s">
        <v>54</v>
      </c>
      <c r="G5" s="19" t="s">
        <v>54</v>
      </c>
      <c r="H5" s="48" t="s">
        <v>52</v>
      </c>
      <c r="I5" s="48" t="s">
        <v>55</v>
      </c>
    </row>
    <row r="6" spans="1:9" s="24" customFormat="1" ht="148.5">
      <c r="A6" s="20" t="s">
        <v>71</v>
      </c>
      <c r="B6" s="19" t="s">
        <v>106</v>
      </c>
      <c r="C6" s="19" t="s">
        <v>105</v>
      </c>
      <c r="D6" s="19" t="s">
        <v>38</v>
      </c>
      <c r="E6" s="19" t="s">
        <v>163</v>
      </c>
      <c r="F6" s="19" t="s">
        <v>120</v>
      </c>
      <c r="G6" s="19" t="s">
        <v>120</v>
      </c>
      <c r="H6" s="48" t="s">
        <v>52</v>
      </c>
      <c r="I6" s="48" t="s">
        <v>55</v>
      </c>
    </row>
    <row r="7" spans="1:9" s="24" customFormat="1" ht="148.5">
      <c r="A7" s="20" t="s">
        <v>72</v>
      </c>
      <c r="B7" s="19" t="s">
        <v>152</v>
      </c>
      <c r="C7" s="19" t="s">
        <v>153</v>
      </c>
      <c r="D7" s="19" t="s">
        <v>38</v>
      </c>
      <c r="E7" s="19" t="s">
        <v>164</v>
      </c>
      <c r="F7" s="19" t="s">
        <v>154</v>
      </c>
      <c r="G7" s="19" t="s">
        <v>154</v>
      </c>
      <c r="H7" s="48" t="s">
        <v>52</v>
      </c>
      <c r="I7" s="48" t="s">
        <v>55</v>
      </c>
    </row>
    <row r="8" spans="1:9" s="24" customFormat="1" ht="132">
      <c r="A8" s="20" t="s">
        <v>73</v>
      </c>
      <c r="B8" s="19" t="s">
        <v>157</v>
      </c>
      <c r="C8" s="19" t="s">
        <v>158</v>
      </c>
      <c r="D8" s="19" t="s">
        <v>38</v>
      </c>
      <c r="E8" s="19" t="s">
        <v>165</v>
      </c>
      <c r="F8" s="19" t="s">
        <v>159</v>
      </c>
      <c r="G8" s="19" t="s">
        <v>159</v>
      </c>
      <c r="H8" s="48" t="s">
        <v>52</v>
      </c>
      <c r="I8" s="48" t="s">
        <v>55</v>
      </c>
    </row>
    <row r="9" spans="1:9" s="24" customFormat="1" ht="148.5">
      <c r="A9" s="20" t="s">
        <v>74</v>
      </c>
      <c r="B9" s="19" t="s">
        <v>166</v>
      </c>
      <c r="C9" s="19" t="s">
        <v>167</v>
      </c>
      <c r="D9" s="19" t="s">
        <v>38</v>
      </c>
      <c r="E9" s="19" t="s">
        <v>168</v>
      </c>
      <c r="F9" s="19" t="s">
        <v>169</v>
      </c>
      <c r="G9" s="19" t="s">
        <v>125</v>
      </c>
      <c r="H9" s="48" t="s">
        <v>51</v>
      </c>
      <c r="I9" s="48" t="s">
        <v>55</v>
      </c>
    </row>
    <row r="10" spans="1:9" s="24" customFormat="1" ht="165">
      <c r="A10" s="20" t="s">
        <v>75</v>
      </c>
      <c r="B10" s="19" t="s">
        <v>107</v>
      </c>
      <c r="C10" s="54" t="s">
        <v>118</v>
      </c>
      <c r="D10" s="19" t="s">
        <v>38</v>
      </c>
      <c r="E10" s="19" t="s">
        <v>170</v>
      </c>
      <c r="F10" s="19" t="s">
        <v>121</v>
      </c>
      <c r="G10" s="19" t="s">
        <v>125</v>
      </c>
      <c r="H10" s="48" t="s">
        <v>51</v>
      </c>
      <c r="I10" s="48" t="s">
        <v>55</v>
      </c>
    </row>
    <row r="11" spans="1:9" s="24" customFormat="1" ht="165">
      <c r="A11" s="20" t="s">
        <v>76</v>
      </c>
      <c r="B11" s="19" t="s">
        <v>108</v>
      </c>
      <c r="C11" s="54" t="s">
        <v>118</v>
      </c>
      <c r="D11" s="19" t="s">
        <v>38</v>
      </c>
      <c r="E11" s="19" t="s">
        <v>171</v>
      </c>
      <c r="F11" s="19" t="s">
        <v>121</v>
      </c>
      <c r="G11" s="19" t="s">
        <v>121</v>
      </c>
      <c r="H11" s="48" t="s">
        <v>52</v>
      </c>
      <c r="I11" s="48" t="s">
        <v>55</v>
      </c>
    </row>
    <row r="12" spans="1:9" s="24" customFormat="1" ht="181.5">
      <c r="A12" s="20" t="s">
        <v>77</v>
      </c>
      <c r="B12" s="19" t="s">
        <v>109</v>
      </c>
      <c r="C12" s="54" t="s">
        <v>118</v>
      </c>
      <c r="D12" s="19" t="s">
        <v>38</v>
      </c>
      <c r="E12" s="19" t="s">
        <v>172</v>
      </c>
      <c r="F12" s="19" t="s">
        <v>121</v>
      </c>
      <c r="G12" s="19" t="s">
        <v>121</v>
      </c>
      <c r="H12" s="48" t="s">
        <v>52</v>
      </c>
      <c r="I12" s="48" t="s">
        <v>55</v>
      </c>
    </row>
    <row r="13" spans="1:9" s="24" customFormat="1" ht="165">
      <c r="A13" s="20" t="s">
        <v>78</v>
      </c>
      <c r="B13" s="19" t="s">
        <v>117</v>
      </c>
      <c r="C13" s="54" t="s">
        <v>118</v>
      </c>
      <c r="D13" s="19" t="s">
        <v>38</v>
      </c>
      <c r="E13" s="19" t="s">
        <v>173</v>
      </c>
      <c r="F13" s="19" t="s">
        <v>121</v>
      </c>
      <c r="G13" s="19" t="s">
        <v>121</v>
      </c>
      <c r="H13" s="48" t="s">
        <v>52</v>
      </c>
      <c r="I13" s="48" t="s">
        <v>55</v>
      </c>
    </row>
    <row r="14" spans="1:9" s="24" customFormat="1" ht="165">
      <c r="A14" s="20" t="s">
        <v>79</v>
      </c>
      <c r="B14" s="19" t="s">
        <v>110</v>
      </c>
      <c r="C14" s="54" t="s">
        <v>118</v>
      </c>
      <c r="D14" s="19" t="s">
        <v>38</v>
      </c>
      <c r="E14" s="19" t="s">
        <v>174</v>
      </c>
      <c r="F14" s="19" t="s">
        <v>121</v>
      </c>
      <c r="G14" s="19" t="s">
        <v>121</v>
      </c>
      <c r="H14" s="48" t="s">
        <v>52</v>
      </c>
      <c r="I14" s="48" t="s">
        <v>55</v>
      </c>
    </row>
    <row r="15" spans="1:9" s="24" customFormat="1" ht="165">
      <c r="A15" s="20" t="s">
        <v>113</v>
      </c>
      <c r="B15" s="19" t="s">
        <v>111</v>
      </c>
      <c r="C15" s="19" t="s">
        <v>160</v>
      </c>
      <c r="D15" s="19" t="s">
        <v>38</v>
      </c>
      <c r="E15" s="19" t="s">
        <v>175</v>
      </c>
      <c r="F15" s="19" t="s">
        <v>122</v>
      </c>
      <c r="G15" s="19" t="s">
        <v>122</v>
      </c>
      <c r="H15" s="48" t="s">
        <v>52</v>
      </c>
      <c r="I15" s="48" t="s">
        <v>55</v>
      </c>
    </row>
    <row r="16" spans="1:9" ht="165">
      <c r="A16" s="20" t="s">
        <v>114</v>
      </c>
      <c r="B16" s="19" t="s">
        <v>112</v>
      </c>
      <c r="C16" s="19" t="s">
        <v>160</v>
      </c>
      <c r="D16" s="19" t="s">
        <v>38</v>
      </c>
      <c r="E16" s="19" t="s">
        <v>176</v>
      </c>
      <c r="F16" s="19" t="s">
        <v>122</v>
      </c>
      <c r="G16" s="19" t="s">
        <v>122</v>
      </c>
      <c r="H16" s="48" t="s">
        <v>52</v>
      </c>
      <c r="I16" s="48" t="s">
        <v>55</v>
      </c>
    </row>
    <row r="17" spans="1:9" ht="148.5">
      <c r="A17" s="20" t="s">
        <v>115</v>
      </c>
      <c r="B17" s="19" t="s">
        <v>161</v>
      </c>
      <c r="C17" s="19" t="s">
        <v>177</v>
      </c>
      <c r="D17" s="19" t="s">
        <v>38</v>
      </c>
      <c r="E17" s="19" t="s">
        <v>178</v>
      </c>
      <c r="F17" s="19" t="s">
        <v>123</v>
      </c>
      <c r="G17" s="19" t="s">
        <v>123</v>
      </c>
      <c r="H17" s="48" t="s">
        <v>52</v>
      </c>
      <c r="I17" s="48" t="s">
        <v>55</v>
      </c>
    </row>
    <row r="18" spans="1:9" ht="165">
      <c r="A18" s="20" t="s">
        <v>116</v>
      </c>
      <c r="B18" s="19" t="s">
        <v>155</v>
      </c>
      <c r="C18" s="19" t="s">
        <v>156</v>
      </c>
      <c r="D18" s="19" t="s">
        <v>119</v>
      </c>
      <c r="E18" s="19" t="s">
        <v>162</v>
      </c>
      <c r="F18" s="19" t="s">
        <v>124</v>
      </c>
      <c r="G18" s="19" t="s">
        <v>124</v>
      </c>
      <c r="H18" s="48" t="s">
        <v>52</v>
      </c>
      <c r="I18" s="48" t="s">
        <v>55</v>
      </c>
    </row>
  </sheetData>
  <phoneticPr fontId="13" type="noConversion"/>
  <hyperlinks>
    <hyperlink ref="A1" location="'Test report'!A1" display="Back to TestReport"/>
    <hyperlink ref="B1" location="BugList!A1" display="To Buglist"/>
  </hyperlinks>
  <pageMargins left="0.75" right="0.75" top="1" bottom="1" header="0.5" footer="0.5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DF980DA-F797-409B-9BA0-898BADEB1F9B}">
            <xm:f>NOT(ISERROR(SEARCH(Chung!$K$18,H5)))</xm:f>
            <xm:f>Chung!$K$18</xm:f>
            <x14:dxf>
              <fill>
                <patternFill>
                  <bgColor rgb="FFFF7C80"/>
                </patternFill>
              </fill>
            </x14:dxf>
          </x14:cfRule>
          <x14:cfRule type="containsText" priority="11" operator="containsText" id="{CA0AA74A-E7D7-4FE8-99AF-36A2A601D2DD}">
            <xm:f>NOT(ISERROR(SEARCH(Chung!$K$17,H5)))</xm:f>
            <xm:f>Chung!$K$17</xm:f>
            <x14:dxf>
              <fill>
                <patternFill>
                  <bgColor theme="9" tint="0.39994506668294322"/>
                </patternFill>
              </fill>
            </x14:dxf>
          </x14:cfRule>
          <xm:sqref>H5:H18</xm:sqref>
        </x14:conditionalFormatting>
        <x14:conditionalFormatting xmlns:xm="http://schemas.microsoft.com/office/excel/2006/main">
          <x14:cfRule type="containsText" priority="12" operator="containsText" id="{2B7C12E2-1B7D-4823-BB39-7C741B8F1A5A}">
            <xm:f>NOT(ISERROR(SEARCH(Chung!$L$18,I5)))</xm:f>
            <xm:f>Chung!$L$18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" operator="containsText" id="{E137D0FC-1DD2-41BE-AC71-3B415426980E}">
            <xm:f>NOT(ISERROR(SEARCH(Chung!$L$17,I5)))</xm:f>
            <xm:f>Chung!$L$17</xm:f>
            <x14:dxf>
              <fill>
                <patternFill>
                  <bgColor theme="7" tint="0.59996337778862885"/>
                </patternFill>
              </fill>
            </x14:dxf>
          </x14:cfRule>
          <xm:sqref>I5:I18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Chung!$K$17:$K$18</xm:f>
          </x14:formula1>
          <xm:sqref>H5:H18</xm:sqref>
        </x14:dataValidation>
        <x14:dataValidation type="list" allowBlank="1" showInputMessage="1" showErrorMessage="1">
          <x14:formula1>
            <xm:f>Chung!$L$17:$L$18</xm:f>
          </x14:formula1>
          <xm:sqref>I5:I18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I115"/>
  <sheetViews>
    <sheetView topLeftCell="A7" zoomScale="55" zoomScaleNormal="55" workbookViewId="0">
      <selection activeCell="A4" sqref="A4:I15"/>
    </sheetView>
  </sheetViews>
  <sheetFormatPr defaultColWidth="8.90625" defaultRowHeight="16.5"/>
  <cols>
    <col min="1" max="1" width="15" customWidth="1"/>
    <col min="2" max="2" width="23.36328125" bestFit="1" customWidth="1"/>
    <col min="3" max="3" width="26.1796875" customWidth="1"/>
    <col min="4" max="4" width="22.26953125" customWidth="1"/>
    <col min="5" max="5" width="40.81640625" customWidth="1"/>
    <col min="6" max="6" width="30.1796875" customWidth="1"/>
    <col min="7" max="7" width="31.54296875" customWidth="1"/>
    <col min="8" max="8" width="13.81640625" style="12" customWidth="1"/>
    <col min="9" max="9" width="14.90625" style="13" customWidth="1"/>
  </cols>
  <sheetData>
    <row r="1" spans="1:9" s="1" customFormat="1" ht="46" customHeight="1">
      <c r="A1" s="2" t="s">
        <v>9</v>
      </c>
      <c r="B1" s="2" t="s">
        <v>10</v>
      </c>
      <c r="C1" s="3" t="e">
        <f>"Pass: "&amp;COUNTIF(#REF!,"Pass")</f>
        <v>#REF!</v>
      </c>
      <c r="D1" s="4" t="e">
        <f>"Untested: "&amp;COUNTIF(#REF!,"Untest")</f>
        <v>#REF!</v>
      </c>
      <c r="E1" s="5"/>
      <c r="H1" s="17"/>
    </row>
    <row r="2" spans="1:9" s="1" customFormat="1" ht="28" customHeight="1">
      <c r="A2" s="6" t="s">
        <v>11</v>
      </c>
      <c r="B2" s="7" t="s">
        <v>12</v>
      </c>
      <c r="C2" s="3" t="e">
        <f>"Fail: "&amp;COUNTIF(#REF!,"Fail")</f>
        <v>#REF!</v>
      </c>
      <c r="D2" s="4" t="e">
        <f>"N/A: "&amp;COUNTIF(#REF!,"N/A")</f>
        <v>#REF!</v>
      </c>
      <c r="E2" s="5"/>
      <c r="H2" s="17"/>
    </row>
    <row r="3" spans="1:9" s="1" customFormat="1" ht="28" customHeight="1">
      <c r="A3" s="6" t="s">
        <v>13</v>
      </c>
      <c r="B3" s="6" t="s">
        <v>29</v>
      </c>
      <c r="C3" s="3" t="e">
        <f>"Percent Complete: "&amp;ROUND((COUNTIF(#REF!,"Pass")*100)/((COUNTA($A$6:$A$942)*5)-COUNTIF(#REF!,"N/A")),2)&amp;"%"</f>
        <v>#REF!</v>
      </c>
      <c r="D3" s="8" t="str">
        <f>"Number of cases: "&amp;(COUNTA($A$5:$A$942))</f>
        <v>Number of cases: 11</v>
      </c>
      <c r="E3" s="9"/>
      <c r="H3" s="17"/>
    </row>
    <row r="4" spans="1:9" ht="46" customHeight="1">
      <c r="A4" s="11" t="s">
        <v>26</v>
      </c>
      <c r="B4" s="11" t="s">
        <v>15</v>
      </c>
      <c r="C4" s="11" t="s">
        <v>27</v>
      </c>
      <c r="D4" s="11" t="s">
        <v>17</v>
      </c>
      <c r="E4" s="11" t="s">
        <v>18</v>
      </c>
      <c r="F4" s="11" t="s">
        <v>19</v>
      </c>
      <c r="G4" s="11" t="s">
        <v>20</v>
      </c>
      <c r="H4" s="11" t="s">
        <v>21</v>
      </c>
      <c r="I4" s="57" t="s">
        <v>22</v>
      </c>
    </row>
    <row r="5" spans="1:9" s="61" customFormat="1" ht="108.5">
      <c r="A5" s="72" t="s">
        <v>80</v>
      </c>
      <c r="B5" s="55" t="s">
        <v>57</v>
      </c>
      <c r="C5" s="18" t="s">
        <v>39</v>
      </c>
      <c r="D5" s="18" t="s">
        <v>40</v>
      </c>
      <c r="E5" s="55" t="s">
        <v>137</v>
      </c>
      <c r="F5" s="55" t="s">
        <v>139</v>
      </c>
      <c r="G5" s="55" t="s">
        <v>139</v>
      </c>
      <c r="H5" s="48" t="s">
        <v>52</v>
      </c>
      <c r="I5" s="48" t="s">
        <v>55</v>
      </c>
    </row>
    <row r="6" spans="1:9" ht="108.5">
      <c r="A6" s="72" t="s">
        <v>81</v>
      </c>
      <c r="B6" s="55" t="s">
        <v>127</v>
      </c>
      <c r="C6" s="18" t="s">
        <v>39</v>
      </c>
      <c r="D6" s="18" t="s">
        <v>40</v>
      </c>
      <c r="E6" s="55" t="s">
        <v>138</v>
      </c>
      <c r="F6" s="55" t="s">
        <v>139</v>
      </c>
      <c r="G6" s="55" t="s">
        <v>139</v>
      </c>
      <c r="H6" s="48" t="s">
        <v>52</v>
      </c>
      <c r="I6" s="48" t="s">
        <v>55</v>
      </c>
    </row>
    <row r="7" spans="1:9" ht="62">
      <c r="A7" s="90" t="s">
        <v>82</v>
      </c>
      <c r="B7" s="89" t="s">
        <v>128</v>
      </c>
      <c r="C7" s="55" t="s">
        <v>39</v>
      </c>
      <c r="D7" s="18" t="s">
        <v>40</v>
      </c>
      <c r="E7" s="55" t="s">
        <v>140</v>
      </c>
      <c r="F7" s="55" t="s">
        <v>142</v>
      </c>
      <c r="G7" s="55" t="s">
        <v>142</v>
      </c>
      <c r="H7" s="76" t="s">
        <v>52</v>
      </c>
      <c r="I7" s="48" t="s">
        <v>55</v>
      </c>
    </row>
    <row r="8" spans="1:9" ht="62">
      <c r="A8" s="72" t="s">
        <v>83</v>
      </c>
      <c r="B8" s="55" t="s">
        <v>129</v>
      </c>
      <c r="C8" s="18" t="s">
        <v>39</v>
      </c>
      <c r="D8" s="18" t="s">
        <v>40</v>
      </c>
      <c r="E8" s="55" t="s">
        <v>141</v>
      </c>
      <c r="F8" s="55" t="s">
        <v>142</v>
      </c>
      <c r="G8" s="55" t="s">
        <v>142</v>
      </c>
      <c r="H8" s="48" t="s">
        <v>52</v>
      </c>
      <c r="I8" s="48" t="s">
        <v>55</v>
      </c>
    </row>
    <row r="9" spans="1:9" ht="62">
      <c r="A9" s="72" t="s">
        <v>84</v>
      </c>
      <c r="B9" s="55" t="s">
        <v>130</v>
      </c>
      <c r="C9" s="55" t="s">
        <v>134</v>
      </c>
      <c r="D9" s="18" t="s">
        <v>40</v>
      </c>
      <c r="E9" s="55" t="s">
        <v>143</v>
      </c>
      <c r="F9" s="55" t="s">
        <v>144</v>
      </c>
      <c r="G9" s="55" t="s">
        <v>144</v>
      </c>
      <c r="H9" s="48" t="s">
        <v>52</v>
      </c>
      <c r="I9" s="48" t="s">
        <v>55</v>
      </c>
    </row>
    <row r="10" spans="1:9" ht="62">
      <c r="A10" s="72" t="s">
        <v>85</v>
      </c>
      <c r="B10" s="55" t="s">
        <v>131</v>
      </c>
      <c r="C10" s="55" t="s">
        <v>135</v>
      </c>
      <c r="D10" s="18" t="s">
        <v>40</v>
      </c>
      <c r="E10" s="55" t="s">
        <v>145</v>
      </c>
      <c r="F10" s="55" t="s">
        <v>146</v>
      </c>
      <c r="G10" s="55" t="s">
        <v>146</v>
      </c>
      <c r="H10" s="48" t="s">
        <v>52</v>
      </c>
      <c r="I10" s="48" t="s">
        <v>55</v>
      </c>
    </row>
    <row r="11" spans="1:9" ht="62">
      <c r="A11" s="91" t="s">
        <v>86</v>
      </c>
      <c r="B11" s="21" t="s">
        <v>41</v>
      </c>
      <c r="C11" s="92" t="s">
        <v>42</v>
      </c>
      <c r="D11" s="93" t="s">
        <v>40</v>
      </c>
      <c r="E11" s="92" t="s">
        <v>147</v>
      </c>
      <c r="F11" s="55" t="s">
        <v>146</v>
      </c>
      <c r="G11" s="55" t="s">
        <v>146</v>
      </c>
      <c r="H11" s="94" t="s">
        <v>52</v>
      </c>
      <c r="I11" s="94" t="s">
        <v>55</v>
      </c>
    </row>
    <row r="12" spans="1:9" ht="65.5" customHeight="1">
      <c r="A12" s="72" t="s">
        <v>87</v>
      </c>
      <c r="B12" s="19" t="s">
        <v>43</v>
      </c>
      <c r="C12" s="55" t="s">
        <v>44</v>
      </c>
      <c r="D12" s="18" t="s">
        <v>40</v>
      </c>
      <c r="E12" s="55" t="s">
        <v>58</v>
      </c>
      <c r="F12" s="55" t="s">
        <v>146</v>
      </c>
      <c r="G12" s="55" t="s">
        <v>146</v>
      </c>
      <c r="H12" s="48" t="s">
        <v>51</v>
      </c>
      <c r="I12" s="48" t="s">
        <v>55</v>
      </c>
    </row>
    <row r="13" spans="1:9" ht="68.5" customHeight="1">
      <c r="A13" s="72" t="s">
        <v>88</v>
      </c>
      <c r="B13" s="55" t="s">
        <v>28</v>
      </c>
      <c r="C13" s="55" t="s">
        <v>45</v>
      </c>
      <c r="D13" s="18" t="s">
        <v>40</v>
      </c>
      <c r="E13" s="55" t="s">
        <v>148</v>
      </c>
      <c r="F13" s="55" t="s">
        <v>146</v>
      </c>
      <c r="G13" s="55" t="s">
        <v>146</v>
      </c>
      <c r="H13" s="48" t="s">
        <v>52</v>
      </c>
      <c r="I13" s="48" t="s">
        <v>55</v>
      </c>
    </row>
    <row r="14" spans="1:9" ht="108.5">
      <c r="A14" s="72" t="s">
        <v>132</v>
      </c>
      <c r="B14" s="55" t="s">
        <v>59</v>
      </c>
      <c r="C14" s="55" t="s">
        <v>60</v>
      </c>
      <c r="D14" s="18" t="s">
        <v>40</v>
      </c>
      <c r="E14" s="55" t="s">
        <v>149</v>
      </c>
      <c r="F14" s="55" t="s">
        <v>139</v>
      </c>
      <c r="G14" s="55" t="s">
        <v>139</v>
      </c>
      <c r="H14" s="48" t="s">
        <v>51</v>
      </c>
      <c r="I14" s="48" t="s">
        <v>55</v>
      </c>
    </row>
    <row r="15" spans="1:9" ht="62">
      <c r="A15" s="72" t="s">
        <v>133</v>
      </c>
      <c r="B15" s="55" t="s">
        <v>126</v>
      </c>
      <c r="C15" s="55" t="s">
        <v>136</v>
      </c>
      <c r="D15" s="55" t="s">
        <v>40</v>
      </c>
      <c r="E15" s="55" t="s">
        <v>150</v>
      </c>
      <c r="F15" s="55" t="s">
        <v>151</v>
      </c>
      <c r="G15" s="55" t="s">
        <v>151</v>
      </c>
      <c r="H15" s="48" t="s">
        <v>52</v>
      </c>
      <c r="I15" s="48" t="s">
        <v>55</v>
      </c>
    </row>
    <row r="16" spans="1:9" ht="14.5" customHeight="1">
      <c r="I16" s="14"/>
    </row>
    <row r="17" spans="5:9" ht="14.5" customHeight="1">
      <c r="I17" s="14"/>
    </row>
    <row r="18" spans="5:9" ht="14.5" customHeight="1">
      <c r="I18" s="14"/>
    </row>
    <row r="19" spans="5:9" ht="14.5" customHeight="1">
      <c r="E19" s="62"/>
      <c r="I19" s="14"/>
    </row>
    <row r="20" spans="5:9" ht="14.5" customHeight="1">
      <c r="I20" s="14"/>
    </row>
    <row r="21" spans="5:9" ht="14.5" customHeight="1">
      <c r="I21" s="14"/>
    </row>
    <row r="22" spans="5:9" ht="14.5" customHeight="1">
      <c r="I22" s="14"/>
    </row>
    <row r="23" spans="5:9" ht="14.5" customHeight="1">
      <c r="I23" s="14"/>
    </row>
    <row r="24" spans="5:9" ht="14.5" customHeight="1">
      <c r="I24" s="14"/>
    </row>
    <row r="25" spans="5:9" ht="14.5" customHeight="1">
      <c r="I25" s="14"/>
    </row>
    <row r="26" spans="5:9" ht="14.5" customHeight="1">
      <c r="I26" s="14"/>
    </row>
    <row r="27" spans="5:9" ht="14.5" customHeight="1">
      <c r="I27" s="14"/>
    </row>
    <row r="28" spans="5:9" ht="14.5" customHeight="1">
      <c r="I28" s="14"/>
    </row>
    <row r="29" spans="5:9" ht="14.5" customHeight="1">
      <c r="I29" s="14"/>
    </row>
    <row r="30" spans="5:9" ht="14.5" customHeight="1">
      <c r="I30" s="14"/>
    </row>
    <row r="31" spans="5:9" ht="14.5" customHeight="1">
      <c r="I31" s="14"/>
    </row>
    <row r="32" spans="5:9" ht="14.5" customHeight="1">
      <c r="I32" s="14"/>
    </row>
    <row r="33" spans="9:9" ht="14.5" customHeight="1">
      <c r="I33" s="14"/>
    </row>
    <row r="34" spans="9:9" ht="14.5" customHeight="1">
      <c r="I34" s="14"/>
    </row>
    <row r="35" spans="9:9" ht="14.5" customHeight="1">
      <c r="I35" s="14"/>
    </row>
    <row r="36" spans="9:9" ht="14.5" customHeight="1">
      <c r="I36" s="14"/>
    </row>
    <row r="37" spans="9:9" ht="14.5" customHeight="1">
      <c r="I37" s="14"/>
    </row>
    <row r="38" spans="9:9" ht="14.5" customHeight="1">
      <c r="I38" s="14"/>
    </row>
    <row r="39" spans="9:9" ht="14.5" customHeight="1">
      <c r="I39" s="14"/>
    </row>
    <row r="40" spans="9:9" ht="14.5" customHeight="1">
      <c r="I40" s="14"/>
    </row>
    <row r="41" spans="9:9" ht="14.5" customHeight="1">
      <c r="I41" s="14"/>
    </row>
    <row r="42" spans="9:9" ht="14.5" customHeight="1">
      <c r="I42" s="14"/>
    </row>
    <row r="43" spans="9:9" ht="14.5" customHeight="1">
      <c r="I43" s="14"/>
    </row>
    <row r="44" spans="9:9" ht="14.5" customHeight="1">
      <c r="I44" s="14"/>
    </row>
    <row r="45" spans="9:9" ht="14.5" customHeight="1">
      <c r="I45" s="14"/>
    </row>
    <row r="46" spans="9:9" ht="14.5" customHeight="1">
      <c r="I46" s="14"/>
    </row>
    <row r="47" spans="9:9" ht="14.5" customHeight="1">
      <c r="I47" s="14"/>
    </row>
    <row r="48" spans="9:9" ht="14.5" customHeight="1">
      <c r="I48" s="14"/>
    </row>
    <row r="49" spans="9:9" ht="14.5" customHeight="1">
      <c r="I49" s="14"/>
    </row>
    <row r="50" spans="9:9" ht="14.5" customHeight="1">
      <c r="I50" s="14"/>
    </row>
    <row r="51" spans="9:9" ht="14.5" customHeight="1">
      <c r="I51" s="14"/>
    </row>
    <row r="52" spans="9:9" ht="14.5" customHeight="1">
      <c r="I52" s="14"/>
    </row>
    <row r="53" spans="9:9" ht="14.5" customHeight="1">
      <c r="I53" s="14"/>
    </row>
    <row r="54" spans="9:9" ht="14.5" customHeight="1">
      <c r="I54" s="14"/>
    </row>
    <row r="55" spans="9:9" ht="14.5" customHeight="1">
      <c r="I55" s="14"/>
    </row>
    <row r="56" spans="9:9" ht="14.5" customHeight="1">
      <c r="I56" s="14"/>
    </row>
    <row r="57" spans="9:9" ht="14.5" customHeight="1">
      <c r="I57" s="14"/>
    </row>
    <row r="58" spans="9:9" ht="14.5" customHeight="1">
      <c r="I58" s="14"/>
    </row>
    <row r="59" spans="9:9" ht="14.5" customHeight="1">
      <c r="I59" s="14"/>
    </row>
    <row r="60" spans="9:9" ht="14.5" customHeight="1">
      <c r="I60" s="14"/>
    </row>
    <row r="61" spans="9:9" ht="14.5" customHeight="1">
      <c r="I61" s="14"/>
    </row>
    <row r="62" spans="9:9" ht="14.5" customHeight="1">
      <c r="I62" s="14"/>
    </row>
    <row r="63" spans="9:9" ht="14.5" customHeight="1">
      <c r="I63" s="14"/>
    </row>
    <row r="64" spans="9:9" ht="14.5" customHeight="1">
      <c r="I64" s="14"/>
    </row>
    <row r="65" spans="9:9" ht="14.5" customHeight="1">
      <c r="I65" s="14"/>
    </row>
    <row r="66" spans="9:9" ht="14.5" customHeight="1">
      <c r="I66" s="14"/>
    </row>
    <row r="67" spans="9:9" ht="14.5" customHeight="1">
      <c r="I67" s="14"/>
    </row>
    <row r="68" spans="9:9" ht="14.5" customHeight="1">
      <c r="I68" s="14"/>
    </row>
    <row r="69" spans="9:9" ht="14.5" customHeight="1">
      <c r="I69" s="14"/>
    </row>
    <row r="70" spans="9:9" ht="14.5" customHeight="1">
      <c r="I70" s="14"/>
    </row>
    <row r="71" spans="9:9" ht="14.5" customHeight="1">
      <c r="I71" s="14"/>
    </row>
    <row r="72" spans="9:9" ht="14.5" customHeight="1">
      <c r="I72" s="14"/>
    </row>
    <row r="73" spans="9:9" ht="14.5" customHeight="1">
      <c r="I73" s="14"/>
    </row>
    <row r="74" spans="9:9" ht="14.5" customHeight="1">
      <c r="I74" s="14"/>
    </row>
    <row r="75" spans="9:9" ht="14.5" customHeight="1">
      <c r="I75" s="14"/>
    </row>
    <row r="76" spans="9:9" ht="14.5" customHeight="1">
      <c r="I76" s="14"/>
    </row>
    <row r="77" spans="9:9" ht="14.5" customHeight="1">
      <c r="I77" s="14"/>
    </row>
    <row r="78" spans="9:9" ht="14.5" customHeight="1">
      <c r="I78" s="14"/>
    </row>
    <row r="79" spans="9:9" ht="14.5" customHeight="1">
      <c r="I79" s="14"/>
    </row>
    <row r="80" spans="9:9" ht="14.5" customHeight="1">
      <c r="I80" s="14"/>
    </row>
    <row r="81" spans="9:9" ht="14.5" customHeight="1">
      <c r="I81" s="14"/>
    </row>
    <row r="82" spans="9:9" ht="14.5" customHeight="1">
      <c r="I82" s="14"/>
    </row>
    <row r="83" spans="9:9" ht="14.5" customHeight="1">
      <c r="I83" s="14"/>
    </row>
    <row r="84" spans="9:9" ht="14.5" customHeight="1">
      <c r="I84" s="14"/>
    </row>
    <row r="85" spans="9:9" ht="14.5" customHeight="1">
      <c r="I85" s="14"/>
    </row>
    <row r="86" spans="9:9" ht="14.5" customHeight="1">
      <c r="I86" s="14"/>
    </row>
    <row r="87" spans="9:9" ht="14.5" customHeight="1">
      <c r="I87" s="14"/>
    </row>
    <row r="88" spans="9:9" ht="14.5" customHeight="1">
      <c r="I88" s="14"/>
    </row>
    <row r="89" spans="9:9" ht="14.5" customHeight="1">
      <c r="I89" s="14"/>
    </row>
    <row r="90" spans="9:9" ht="14.5" customHeight="1">
      <c r="I90" s="14"/>
    </row>
    <row r="91" spans="9:9" ht="14.5" customHeight="1">
      <c r="I91" s="14"/>
    </row>
    <row r="92" spans="9:9" ht="14.5" customHeight="1">
      <c r="I92" s="14"/>
    </row>
    <row r="93" spans="9:9" ht="14.5" customHeight="1">
      <c r="I93" s="14"/>
    </row>
    <row r="94" spans="9:9" ht="14.5" customHeight="1">
      <c r="I94" s="14"/>
    </row>
    <row r="95" spans="9:9" ht="14.5" customHeight="1">
      <c r="I95" s="14"/>
    </row>
    <row r="96" spans="9:9" ht="14.5" customHeight="1">
      <c r="I96" s="14"/>
    </row>
    <row r="97" spans="9:9" ht="14.5" customHeight="1">
      <c r="I97" s="14"/>
    </row>
    <row r="98" spans="9:9" ht="14.5" customHeight="1">
      <c r="I98" s="14"/>
    </row>
    <row r="99" spans="9:9" ht="14.5" customHeight="1">
      <c r="I99" s="14"/>
    </row>
    <row r="100" spans="9:9" ht="14.5" customHeight="1">
      <c r="I100" s="14"/>
    </row>
    <row r="101" spans="9:9" ht="14.5" customHeight="1">
      <c r="I101" s="14"/>
    </row>
    <row r="102" spans="9:9" ht="14.5" customHeight="1">
      <c r="I102" s="14"/>
    </row>
    <row r="103" spans="9:9" ht="14.5" customHeight="1">
      <c r="I103" s="14"/>
    </row>
    <row r="104" spans="9:9" ht="14.5" customHeight="1">
      <c r="I104" s="14"/>
    </row>
    <row r="105" spans="9:9" ht="14.5" customHeight="1">
      <c r="I105" s="14"/>
    </row>
    <row r="106" spans="9:9" ht="14.5" customHeight="1">
      <c r="I106" s="14"/>
    </row>
    <row r="107" spans="9:9" ht="14.5" customHeight="1">
      <c r="I107" s="14"/>
    </row>
    <row r="108" spans="9:9" ht="14.5" customHeight="1">
      <c r="I108" s="14"/>
    </row>
    <row r="109" spans="9:9" ht="14.5" customHeight="1">
      <c r="I109" s="14"/>
    </row>
    <row r="110" spans="9:9" ht="14.5" customHeight="1">
      <c r="I110" s="14"/>
    </row>
    <row r="111" spans="9:9" ht="14.5" customHeight="1">
      <c r="I111" s="14"/>
    </row>
    <row r="112" spans="9:9" ht="14.5" customHeight="1">
      <c r="I112" s="14"/>
    </row>
    <row r="113" spans="9:9" ht="14.5" customHeight="1">
      <c r="I113" s="14"/>
    </row>
    <row r="114" spans="9:9" ht="14.5" customHeight="1">
      <c r="I114" s="14"/>
    </row>
    <row r="115" spans="9:9" ht="14.5" customHeight="1">
      <c r="I115" s="14"/>
    </row>
  </sheetData>
  <phoneticPr fontId="16" type="noConversion"/>
  <hyperlinks>
    <hyperlink ref="A1" location="'Test report'!A1" display="Back to TestReport"/>
    <hyperlink ref="B1" location="BugList!A1" display="To Buglist"/>
  </hyperlink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4" operator="containsText" id="{167B4CBA-F46C-4E08-9CD6-AF317DC66F51}">
            <xm:f>NOT(ISERROR(SEARCH(Chung!$K$18,H5)))</xm:f>
            <xm:f>Chung!$K$18</xm:f>
            <x14:dxf>
              <fill>
                <patternFill>
                  <bgColor rgb="FFFF7C80"/>
                </patternFill>
              </fill>
            </x14:dxf>
          </x14:cfRule>
          <x14:cfRule type="containsText" priority="15" operator="containsText" id="{D6C9701B-3C25-411B-9C2F-FCA876FE595C}">
            <xm:f>NOT(ISERROR(SEARCH(Chung!$K$17,H5)))</xm:f>
            <xm:f>Chung!$K$17</xm:f>
            <x14:dxf>
              <fill>
                <patternFill>
                  <bgColor theme="9" tint="0.39994506668294322"/>
                </patternFill>
              </fill>
            </x14:dxf>
          </x14:cfRule>
          <xm:sqref>H5:H15</xm:sqref>
        </x14:conditionalFormatting>
        <x14:conditionalFormatting xmlns:xm="http://schemas.microsoft.com/office/excel/2006/main">
          <x14:cfRule type="containsText" priority="16" operator="containsText" id="{C1B0DEAD-A781-4C62-A7CF-FF929C11B14A}">
            <xm:f>NOT(ISERROR(SEARCH(Chung!$L$18,I5)))</xm:f>
            <xm:f>Chung!$L$18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" operator="containsText" id="{2C913F78-7E8A-4F17-A0A3-6971424A9470}">
            <xm:f>NOT(ISERROR(SEARCH(Chung!$L$17,I5)))</xm:f>
            <xm:f>Chung!$L$17</xm:f>
            <x14:dxf>
              <fill>
                <patternFill>
                  <bgColor theme="7" tint="0.59996337778862885"/>
                </patternFill>
              </fill>
            </x14:dxf>
          </x14:cfRule>
          <xm:sqref>I5:I15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Chung!$K$17:$K$18</xm:f>
          </x14:formula1>
          <xm:sqref>H5:H15</xm:sqref>
        </x14:dataValidation>
        <x14:dataValidation type="list" allowBlank="1" showInputMessage="1" showErrorMessage="1">
          <x14:formula1>
            <xm:f>Chung!$L$17:$L$18</xm:f>
          </x14:formula1>
          <xm:sqref>I5:I15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I48"/>
  <sheetViews>
    <sheetView tabSelected="1" topLeftCell="E18" zoomScale="70" zoomScaleNormal="70" workbookViewId="0">
      <selection activeCell="I18" sqref="I18"/>
    </sheetView>
  </sheetViews>
  <sheetFormatPr defaultColWidth="8.90625" defaultRowHeight="16.5"/>
  <cols>
    <col min="1" max="1" width="22.26953125" style="15" customWidth="1"/>
    <col min="2" max="2" width="24.26953125" style="13" customWidth="1"/>
    <col min="3" max="3" width="23.90625" style="13" customWidth="1"/>
    <col min="4" max="4" width="35.81640625" style="13" customWidth="1"/>
    <col min="5" max="5" width="34.54296875" style="13" customWidth="1"/>
    <col min="6" max="6" width="25" style="13" customWidth="1"/>
    <col min="7" max="7" width="24.08984375" style="13" customWidth="1"/>
    <col min="8" max="8" width="8.90625" style="13"/>
    <col min="9" max="9" width="11.7265625" style="15" customWidth="1"/>
    <col min="10" max="16384" width="8.90625" style="13"/>
  </cols>
  <sheetData>
    <row r="1" spans="1:9" s="1" customFormat="1" ht="46" customHeight="1">
      <c r="A1" s="2" t="s">
        <v>9</v>
      </c>
      <c r="B1" s="2" t="s">
        <v>10</v>
      </c>
      <c r="C1" s="2"/>
      <c r="D1" s="3" t="e">
        <f>"Pass: "&amp;COUNTIF(#REF!,"Pass")</f>
        <v>#REF!</v>
      </c>
      <c r="E1" s="4" t="e">
        <f>"Untested: "&amp;COUNTIF(#REF!,"Untest")</f>
        <v>#REF!</v>
      </c>
      <c r="F1" s="5"/>
      <c r="I1" s="17"/>
    </row>
    <row r="2" spans="1:9" s="1" customFormat="1" ht="28" customHeight="1">
      <c r="A2" s="6" t="s">
        <v>11</v>
      </c>
      <c r="B2" s="7" t="s">
        <v>12</v>
      </c>
      <c r="C2" s="7"/>
      <c r="D2" s="3" t="e">
        <f>"Fail: "&amp;COUNTIF(#REF!,"Fail")</f>
        <v>#REF!</v>
      </c>
      <c r="E2" s="4" t="e">
        <f>"N/A: "&amp;COUNTIF(#REF!,"N/A")</f>
        <v>#REF!</v>
      </c>
      <c r="F2" s="5"/>
      <c r="I2" s="17"/>
    </row>
    <row r="3" spans="1:9" s="1" customFormat="1" ht="28" customHeight="1">
      <c r="A3" s="6" t="s">
        <v>13</v>
      </c>
      <c r="B3" s="6" t="s">
        <v>29</v>
      </c>
      <c r="C3" s="6"/>
      <c r="D3" s="3" t="e">
        <f>"Percent Complete: "&amp;ROUND((COUNTIF(#REF!,"Pass")*100)/((COUNTA($A$5:$A$872)*5)-COUNTIF(#REF!,"N/A")),2)&amp;"%"</f>
        <v>#REF!</v>
      </c>
      <c r="E3" s="8" t="str">
        <f>"Number of cases: "&amp;(COUNTA($A$5:$A$872))</f>
        <v>Number of cases: 14</v>
      </c>
      <c r="F3" s="9"/>
      <c r="I3" s="17"/>
    </row>
    <row r="4" spans="1:9" s="15" customFormat="1" ht="33.65" customHeight="1">
      <c r="A4" s="16" t="s">
        <v>14</v>
      </c>
      <c r="B4" s="11" t="s">
        <v>15</v>
      </c>
      <c r="C4" s="11" t="s">
        <v>16</v>
      </c>
      <c r="D4" s="11" t="s">
        <v>17</v>
      </c>
      <c r="E4" s="11" t="s">
        <v>18</v>
      </c>
      <c r="F4" s="11" t="s">
        <v>19</v>
      </c>
      <c r="G4" s="11" t="s">
        <v>20</v>
      </c>
      <c r="H4" s="11" t="s">
        <v>21</v>
      </c>
      <c r="I4" s="29" t="s">
        <v>22</v>
      </c>
    </row>
    <row r="5" spans="1:9" ht="299" customHeight="1">
      <c r="A5" s="23" t="s">
        <v>89</v>
      </c>
      <c r="B5" s="25" t="s">
        <v>46</v>
      </c>
      <c r="C5" s="10" t="s">
        <v>30</v>
      </c>
      <c r="D5" s="10" t="s">
        <v>31</v>
      </c>
      <c r="E5" s="25" t="s">
        <v>196</v>
      </c>
      <c r="F5" s="10" t="s">
        <v>32</v>
      </c>
      <c r="G5" s="10" t="s">
        <v>32</v>
      </c>
      <c r="H5" s="48" t="s">
        <v>52</v>
      </c>
      <c r="I5" s="48" t="s">
        <v>55</v>
      </c>
    </row>
    <row r="6" spans="1:9" ht="296.5" customHeight="1">
      <c r="A6" s="23" t="s">
        <v>90</v>
      </c>
      <c r="B6" s="25" t="s">
        <v>46</v>
      </c>
      <c r="C6" s="10" t="s">
        <v>30</v>
      </c>
      <c r="D6" s="10" t="s">
        <v>31</v>
      </c>
      <c r="E6" s="95" t="s">
        <v>197</v>
      </c>
      <c r="F6" s="10" t="s">
        <v>32</v>
      </c>
      <c r="G6" s="10" t="s">
        <v>32</v>
      </c>
      <c r="H6" s="48" t="s">
        <v>52</v>
      </c>
      <c r="I6" s="48" t="s">
        <v>55</v>
      </c>
    </row>
    <row r="7" spans="1:9" ht="271" customHeight="1">
      <c r="A7" s="23" t="s">
        <v>91</v>
      </c>
      <c r="B7" s="25" t="s">
        <v>201</v>
      </c>
      <c r="C7" s="10" t="s">
        <v>204</v>
      </c>
      <c r="D7" s="10" t="s">
        <v>31</v>
      </c>
      <c r="E7" s="95" t="s">
        <v>198</v>
      </c>
      <c r="F7" s="10" t="s">
        <v>32</v>
      </c>
      <c r="G7" s="10" t="s">
        <v>32</v>
      </c>
      <c r="H7" s="48" t="s">
        <v>52</v>
      </c>
      <c r="I7" s="48" t="s">
        <v>55</v>
      </c>
    </row>
    <row r="8" spans="1:9" ht="274" customHeight="1">
      <c r="A8" s="23" t="s">
        <v>92</v>
      </c>
      <c r="B8" s="25" t="s">
        <v>202</v>
      </c>
      <c r="C8" s="25" t="s">
        <v>203</v>
      </c>
      <c r="D8" s="10" t="s">
        <v>31</v>
      </c>
      <c r="E8" s="95" t="s">
        <v>199</v>
      </c>
      <c r="F8" s="10" t="s">
        <v>32</v>
      </c>
      <c r="G8" s="10" t="s">
        <v>32</v>
      </c>
      <c r="H8" s="48" t="s">
        <v>52</v>
      </c>
      <c r="I8" s="48" t="s">
        <v>55</v>
      </c>
    </row>
    <row r="9" spans="1:9" ht="274" customHeight="1">
      <c r="A9" s="23" t="s">
        <v>93</v>
      </c>
      <c r="B9" s="25" t="s">
        <v>205</v>
      </c>
      <c r="C9" s="25" t="s">
        <v>47</v>
      </c>
      <c r="D9" s="10" t="s">
        <v>31</v>
      </c>
      <c r="E9" s="95" t="s">
        <v>206</v>
      </c>
      <c r="F9" s="10" t="s">
        <v>32</v>
      </c>
      <c r="G9" s="10" t="s">
        <v>32</v>
      </c>
      <c r="H9" s="48" t="s">
        <v>52</v>
      </c>
      <c r="I9" s="48" t="s">
        <v>55</v>
      </c>
    </row>
    <row r="10" spans="1:9" ht="275.5" customHeight="1">
      <c r="A10" s="23" t="s">
        <v>94</v>
      </c>
      <c r="B10" s="25" t="s">
        <v>209</v>
      </c>
      <c r="C10" s="25" t="s">
        <v>207</v>
      </c>
      <c r="D10" s="10" t="s">
        <v>31</v>
      </c>
      <c r="E10" s="95" t="s">
        <v>208</v>
      </c>
      <c r="F10" s="10" t="s">
        <v>32</v>
      </c>
      <c r="G10" s="10" t="s">
        <v>32</v>
      </c>
      <c r="H10" s="48" t="s">
        <v>52</v>
      </c>
      <c r="I10" s="48" t="s">
        <v>55</v>
      </c>
    </row>
    <row r="11" spans="1:9" ht="278" customHeight="1">
      <c r="A11" s="23" t="s">
        <v>95</v>
      </c>
      <c r="B11" s="25" t="s">
        <v>210</v>
      </c>
      <c r="C11" s="25" t="s">
        <v>211</v>
      </c>
      <c r="D11" s="25" t="s">
        <v>31</v>
      </c>
      <c r="E11" s="95" t="s">
        <v>212</v>
      </c>
      <c r="F11" s="25" t="s">
        <v>229</v>
      </c>
      <c r="G11" s="25" t="s">
        <v>229</v>
      </c>
      <c r="H11" s="48" t="s">
        <v>52</v>
      </c>
      <c r="I11" s="48" t="s">
        <v>55</v>
      </c>
    </row>
    <row r="12" spans="1:9" ht="266.5" customHeight="1">
      <c r="A12" s="23" t="s">
        <v>96</v>
      </c>
      <c r="B12" s="25" t="s">
        <v>213</v>
      </c>
      <c r="C12" s="25" t="s">
        <v>211</v>
      </c>
      <c r="D12" s="25" t="s">
        <v>48</v>
      </c>
      <c r="E12" s="95" t="s">
        <v>214</v>
      </c>
      <c r="F12" s="25" t="s">
        <v>230</v>
      </c>
      <c r="G12" s="25" t="s">
        <v>230</v>
      </c>
      <c r="H12" s="48" t="s">
        <v>52</v>
      </c>
      <c r="I12" s="48" t="s">
        <v>55</v>
      </c>
    </row>
    <row r="13" spans="1:9" ht="288.5" customHeight="1">
      <c r="A13" s="23" t="s">
        <v>97</v>
      </c>
      <c r="B13" s="25" t="s">
        <v>215</v>
      </c>
      <c r="C13" s="25" t="s">
        <v>211</v>
      </c>
      <c r="D13" s="25" t="s">
        <v>48</v>
      </c>
      <c r="E13" s="95" t="s">
        <v>216</v>
      </c>
      <c r="F13" s="25" t="s">
        <v>231</v>
      </c>
      <c r="G13" s="25" t="s">
        <v>231</v>
      </c>
      <c r="H13" s="48" t="s">
        <v>52</v>
      </c>
      <c r="I13" s="48" t="s">
        <v>55</v>
      </c>
    </row>
    <row r="14" spans="1:9" ht="282.5" customHeight="1">
      <c r="A14" s="23" t="s">
        <v>98</v>
      </c>
      <c r="B14" s="25" t="s">
        <v>217</v>
      </c>
      <c r="C14" s="25" t="s">
        <v>219</v>
      </c>
      <c r="D14" s="25" t="s">
        <v>48</v>
      </c>
      <c r="E14" s="95" t="s">
        <v>218</v>
      </c>
      <c r="F14" s="25" t="s">
        <v>232</v>
      </c>
      <c r="G14" s="25" t="s">
        <v>232</v>
      </c>
      <c r="H14" s="48" t="s">
        <v>52</v>
      </c>
      <c r="I14" s="48" t="s">
        <v>55</v>
      </c>
    </row>
    <row r="15" spans="1:9" ht="290" customHeight="1">
      <c r="A15" s="23" t="s">
        <v>99</v>
      </c>
      <c r="B15" s="25" t="s">
        <v>220</v>
      </c>
      <c r="C15" s="25" t="s">
        <v>221</v>
      </c>
      <c r="D15" s="25" t="s">
        <v>48</v>
      </c>
      <c r="E15" s="95" t="s">
        <v>223</v>
      </c>
      <c r="F15" s="25" t="s">
        <v>233</v>
      </c>
      <c r="G15" s="10" t="s">
        <v>32</v>
      </c>
      <c r="H15" s="48" t="s">
        <v>51</v>
      </c>
      <c r="I15" s="48" t="s">
        <v>55</v>
      </c>
    </row>
    <row r="16" spans="1:9" ht="280" customHeight="1">
      <c r="A16" s="23" t="s">
        <v>100</v>
      </c>
      <c r="B16" s="25" t="s">
        <v>222</v>
      </c>
      <c r="C16" s="25" t="s">
        <v>221</v>
      </c>
      <c r="D16" s="25" t="s">
        <v>48</v>
      </c>
      <c r="E16" s="95" t="s">
        <v>224</v>
      </c>
      <c r="F16" s="25" t="s">
        <v>233</v>
      </c>
      <c r="G16" s="10" t="s">
        <v>32</v>
      </c>
      <c r="H16" s="48" t="s">
        <v>51</v>
      </c>
      <c r="I16" s="48" t="s">
        <v>55</v>
      </c>
    </row>
    <row r="17" spans="1:9" ht="281" customHeight="1">
      <c r="A17" s="23" t="s">
        <v>101</v>
      </c>
      <c r="B17" s="25" t="s">
        <v>225</v>
      </c>
      <c r="C17" s="25" t="s">
        <v>221</v>
      </c>
      <c r="D17" s="25" t="s">
        <v>48</v>
      </c>
      <c r="E17" s="95" t="s">
        <v>200</v>
      </c>
      <c r="F17" s="25" t="s">
        <v>233</v>
      </c>
      <c r="G17" s="10" t="s">
        <v>32</v>
      </c>
      <c r="H17" s="48" t="s">
        <v>51</v>
      </c>
      <c r="I17" s="48" t="s">
        <v>55</v>
      </c>
    </row>
    <row r="18" spans="1:9" ht="268.5" customHeight="1">
      <c r="A18" s="23" t="s">
        <v>226</v>
      </c>
      <c r="B18" s="25" t="s">
        <v>227</v>
      </c>
      <c r="C18" s="25" t="s">
        <v>221</v>
      </c>
      <c r="D18" s="25" t="s">
        <v>48</v>
      </c>
      <c r="E18" s="95" t="s">
        <v>228</v>
      </c>
      <c r="F18" s="25" t="s">
        <v>233</v>
      </c>
      <c r="G18" s="10" t="s">
        <v>32</v>
      </c>
      <c r="H18" s="48" t="s">
        <v>51</v>
      </c>
      <c r="I18" s="48" t="s">
        <v>55</v>
      </c>
    </row>
    <row r="19" spans="1:9" ht="27.5" customHeight="1">
      <c r="A19" s="13"/>
      <c r="I19" s="13"/>
    </row>
    <row r="20" spans="1:9" ht="31.5" customHeight="1">
      <c r="A20" s="13"/>
      <c r="I20" s="13"/>
    </row>
    <row r="21" spans="1:9" ht="32.5" customHeight="1">
      <c r="A21" s="13"/>
      <c r="I21" s="13"/>
    </row>
    <row r="22" spans="1:9" ht="27.5" customHeight="1">
      <c r="A22" s="13"/>
      <c r="I22" s="13"/>
    </row>
    <row r="23" spans="1:9" ht="27.5" customHeight="1">
      <c r="A23" s="13"/>
      <c r="I23" s="13"/>
    </row>
    <row r="24" spans="1:9" ht="27.5" customHeight="1">
      <c r="A24" s="13"/>
      <c r="I24" s="13"/>
    </row>
    <row r="25" spans="1:9" ht="27.5" customHeight="1">
      <c r="A25" s="13"/>
      <c r="I25" s="13"/>
    </row>
    <row r="26" spans="1:9" ht="27.5" customHeight="1">
      <c r="A26" s="13"/>
      <c r="I26" s="13"/>
    </row>
    <row r="27" spans="1:9" ht="27.5" customHeight="1">
      <c r="A27" s="13"/>
      <c r="I27" s="13"/>
    </row>
    <row r="28" spans="1:9" ht="27.5" customHeight="1">
      <c r="A28" s="13"/>
      <c r="I28" s="13"/>
    </row>
    <row r="29" spans="1:9" ht="27.5" customHeight="1">
      <c r="A29" s="13"/>
      <c r="I29" s="13"/>
    </row>
    <row r="30" spans="1:9" ht="27.5" customHeight="1">
      <c r="A30" s="13"/>
      <c r="I30" s="13"/>
    </row>
    <row r="31" spans="1:9" ht="27.5" customHeight="1">
      <c r="A31" s="13"/>
      <c r="I31" s="13"/>
    </row>
    <row r="32" spans="1:9" ht="27.5" customHeight="1">
      <c r="A32" s="13"/>
      <c r="I32" s="13"/>
    </row>
    <row r="33" spans="1:9" ht="27.5" customHeight="1">
      <c r="A33" s="13"/>
      <c r="I33" s="13"/>
    </row>
    <row r="34" spans="1:9" ht="27.5" customHeight="1">
      <c r="A34" s="13"/>
      <c r="I34" s="13"/>
    </row>
    <row r="35" spans="1:9" ht="27.5" customHeight="1">
      <c r="A35" s="13"/>
      <c r="I35" s="13"/>
    </row>
    <row r="36" spans="1:9" ht="27.5" customHeight="1">
      <c r="A36" s="13"/>
      <c r="I36" s="13"/>
    </row>
    <row r="37" spans="1:9" ht="27.5" customHeight="1">
      <c r="A37" s="13"/>
      <c r="I37" s="13"/>
    </row>
    <row r="38" spans="1:9" ht="27.5" customHeight="1">
      <c r="A38" s="13"/>
      <c r="I38" s="13"/>
    </row>
    <row r="39" spans="1:9" ht="27.5" customHeight="1">
      <c r="A39" s="13"/>
      <c r="I39" s="13"/>
    </row>
    <row r="40" spans="1:9" ht="27.5" customHeight="1">
      <c r="A40" s="13"/>
      <c r="I40" s="13"/>
    </row>
    <row r="41" spans="1:9" ht="27.5" customHeight="1">
      <c r="A41" s="13"/>
      <c r="I41" s="13"/>
    </row>
    <row r="42" spans="1:9" ht="27.5" customHeight="1">
      <c r="A42" s="13"/>
      <c r="I42" s="13"/>
    </row>
    <row r="43" spans="1:9" ht="27.5" customHeight="1">
      <c r="A43" s="13"/>
      <c r="I43" s="13"/>
    </row>
    <row r="44" spans="1:9" ht="27.5" customHeight="1">
      <c r="A44" s="13"/>
      <c r="I44" s="13"/>
    </row>
    <row r="45" spans="1:9" ht="27.5" customHeight="1">
      <c r="A45" s="13"/>
      <c r="I45" s="13"/>
    </row>
    <row r="46" spans="1:9" ht="27.5" customHeight="1">
      <c r="A46" s="13"/>
      <c r="I46" s="13"/>
    </row>
    <row r="47" spans="1:9" ht="27.5" customHeight="1">
      <c r="A47" s="13"/>
      <c r="I47" s="13"/>
    </row>
    <row r="48" spans="1:9" ht="27.5" customHeight="1">
      <c r="A48" s="13"/>
      <c r="I48" s="13"/>
    </row>
  </sheetData>
  <phoneticPr fontId="13" type="noConversion"/>
  <hyperlinks>
    <hyperlink ref="A1" location="'Test report'!A1" display="Back to TestReport"/>
    <hyperlink ref="B1" location="BugList!A1" display="To Buglist"/>
  </hyperlink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CB9A6FB6-FAB9-411A-A293-3EC5B790E827}">
            <xm:f>NOT(ISERROR(SEARCH(Chung!$K$18,H5)))</xm:f>
            <xm:f>Chung!$K$18</xm:f>
            <x14:dxf>
              <fill>
                <patternFill>
                  <bgColor rgb="FFFF7C80"/>
                </patternFill>
              </fill>
            </x14:dxf>
          </x14:cfRule>
          <x14:cfRule type="containsText" priority="27" operator="containsText" id="{38317E70-E360-4E81-9612-401AA3840913}">
            <xm:f>NOT(ISERROR(SEARCH(Chung!$K$17,H5)))</xm:f>
            <xm:f>Chung!$K$17</xm:f>
            <x14:dxf>
              <fill>
                <patternFill>
                  <bgColor theme="9" tint="0.39994506668294322"/>
                </patternFill>
              </fill>
            </x14:dxf>
          </x14:cfRule>
          <xm:sqref>H5:H18</xm:sqref>
        </x14:conditionalFormatting>
        <x14:conditionalFormatting xmlns:xm="http://schemas.microsoft.com/office/excel/2006/main">
          <x14:cfRule type="containsText" priority="28" operator="containsText" id="{7E6DFF63-4CC4-4CA4-83AF-CE3DC9588243}">
            <xm:f>NOT(ISERROR(SEARCH(Chung!$L$18,I5)))</xm:f>
            <xm:f>Chung!$L$18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" operator="containsText" id="{EB2E0EB0-B10D-4E61-B09D-9B5BD4ADC7B3}">
            <xm:f>NOT(ISERROR(SEARCH(Chung!$L$17,I5)))</xm:f>
            <xm:f>Chung!$L$17</xm:f>
            <x14:dxf>
              <fill>
                <patternFill>
                  <bgColor theme="7" tint="0.59996337778862885"/>
                </patternFill>
              </fill>
            </x14:dxf>
          </x14:cfRule>
          <xm:sqref>I5:I18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Chung!$K$17:$K$18</xm:f>
          </x14:formula1>
          <xm:sqref>H5:H18</xm:sqref>
        </x14:dataValidation>
        <x14:dataValidation type="list" allowBlank="1" showInputMessage="1" showErrorMessage="1">
          <x14:formula1>
            <xm:f>Chung!$L$17:$L$18</xm:f>
          </x14:formula1>
          <xm:sqref>I5:I18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Chung</vt:lpstr>
      <vt:lpstr>Đăng nhập</vt:lpstr>
      <vt:lpstr>Đăng ký</vt:lpstr>
      <vt:lpstr>Tìm kiếm sản phẩm</vt:lpstr>
      <vt:lpstr>Thông tin cá nhân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HP</cp:lastModifiedBy>
  <dcterms:created xsi:type="dcterms:W3CDTF">2024-12-12T06:08:00Z</dcterms:created>
  <dcterms:modified xsi:type="dcterms:W3CDTF">2025-10-25T12:47:09Z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24A842CA1D9B477A8D99CD51D0F05B73_13</vt:lpwstr>
  </property>
  <property fmtid="{D5CDD505-2E9C-101B-9397-08002B2CF9AE}" pid="3" name="KSOProductBuildVer">
    <vt:lpwstr>1033-12.2.0.19307</vt:lpwstr>
  </property>
</Properties>
</file>